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1385269-F828-4CD5-B588-D9CD3330E2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_Trend" sheetId="1" r:id="rId1"/>
    <sheet name="Insight pivot" sheetId="11" r:id="rId2"/>
    <sheet name="KPI" sheetId="12" r:id="rId3"/>
  </sheets>
  <definedNames>
    <definedName name="_xlcn.WorksheetConnection_sales_data1.xlsxTable11" hidden="1">Table1[]</definedName>
    <definedName name="_xlcn.WorksheetConnection_Sales_TrendAI1" hidden="1">Sales_Trend!$A:$I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pivotCaches>
    <pivotCache cacheId="149" r:id="rId4"/>
    <pivotCache cacheId="255" r:id="rId5"/>
    <pivotCache cacheId="258" r:id="rId6"/>
    <pivotCache cacheId="261" r:id="rId7"/>
    <pivotCache cacheId="264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ales_Trend!$A:$I"/>
          <x15:modelTable id="Table1" name="Table1" connection="WorksheetConnection_sales_data (1)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2" l="1"/>
  <c r="E2" i="12"/>
  <c r="A2" i="12"/>
  <c r="B2" i="12"/>
  <c r="C2" i="12"/>
  <c r="D502" i="1"/>
  <c r="H294" i="1"/>
  <c r="G294" i="1" s="1"/>
  <c r="H3" i="1"/>
  <c r="G3" i="1" s="1"/>
  <c r="H340" i="1"/>
  <c r="G340" i="1" s="1"/>
  <c r="H330" i="1"/>
  <c r="H178" i="1"/>
  <c r="G178" i="1" s="1"/>
  <c r="H407" i="1"/>
  <c r="G407" i="1" s="1"/>
  <c r="H261" i="1"/>
  <c r="G261" i="1" s="1"/>
  <c r="H9" i="1"/>
  <c r="G9" i="1" s="1"/>
  <c r="H10" i="1"/>
  <c r="G10" i="1" s="1"/>
  <c r="H11" i="1"/>
  <c r="G11" i="1" s="1"/>
  <c r="H12" i="1"/>
  <c r="G12" i="1" s="1"/>
  <c r="H13" i="1"/>
  <c r="G13" i="1" s="1"/>
  <c r="H127" i="1"/>
  <c r="G127" i="1" s="1"/>
  <c r="H15" i="1"/>
  <c r="G15" i="1" s="1"/>
  <c r="H360" i="1"/>
  <c r="G360" i="1" s="1"/>
  <c r="H17" i="1"/>
  <c r="G17" i="1" s="1"/>
  <c r="H18" i="1"/>
  <c r="G18" i="1" s="1"/>
  <c r="H286" i="1"/>
  <c r="G286" i="1" s="1"/>
  <c r="H65" i="1"/>
  <c r="G65" i="1" s="1"/>
  <c r="H21" i="1"/>
  <c r="G21" i="1" s="1"/>
  <c r="H22" i="1"/>
  <c r="G22" i="1" s="1"/>
  <c r="H245" i="1"/>
  <c r="G245" i="1" s="1"/>
  <c r="H361" i="1"/>
  <c r="G361" i="1" s="1"/>
  <c r="H25" i="1"/>
  <c r="G25" i="1" s="1"/>
  <c r="H26" i="1"/>
  <c r="G26" i="1" s="1"/>
  <c r="H27" i="1"/>
  <c r="G27" i="1" s="1"/>
  <c r="H486" i="1"/>
  <c r="H29" i="1"/>
  <c r="G29" i="1" s="1"/>
  <c r="H30" i="1"/>
  <c r="G30" i="1" s="1"/>
  <c r="H278" i="1"/>
  <c r="G278" i="1" s="1"/>
  <c r="H101" i="1"/>
  <c r="G101" i="1" s="1"/>
  <c r="H161" i="1"/>
  <c r="G161" i="1" s="1"/>
  <c r="H34" i="1"/>
  <c r="G34" i="1" s="1"/>
  <c r="H16" i="1"/>
  <c r="G16" i="1" s="1"/>
  <c r="H36" i="1"/>
  <c r="G36" i="1" s="1"/>
  <c r="H37" i="1"/>
  <c r="G37" i="1" s="1"/>
  <c r="H38" i="1"/>
  <c r="G38" i="1" s="1"/>
  <c r="H39" i="1"/>
  <c r="G39" i="1" s="1"/>
  <c r="H40" i="1"/>
  <c r="G40" i="1" s="1"/>
  <c r="H464" i="1"/>
  <c r="G464" i="1" s="1"/>
  <c r="H429" i="1"/>
  <c r="G429" i="1" s="1"/>
  <c r="H43" i="1"/>
  <c r="G43" i="1" s="1"/>
  <c r="H44" i="1"/>
  <c r="G44" i="1" s="1"/>
  <c r="H66" i="1"/>
  <c r="G66" i="1" s="1"/>
  <c r="H46" i="1"/>
  <c r="G46" i="1" s="1"/>
  <c r="H47" i="1"/>
  <c r="G47" i="1" s="1"/>
  <c r="H449" i="1"/>
  <c r="G449" i="1" s="1"/>
  <c r="H252" i="1"/>
  <c r="G252" i="1" s="1"/>
  <c r="H50" i="1"/>
  <c r="G50" i="1" s="1"/>
  <c r="H450" i="1"/>
  <c r="G450" i="1" s="1"/>
  <c r="H327" i="1"/>
  <c r="G327" i="1" s="1"/>
  <c r="H53" i="1"/>
  <c r="G53" i="1" s="1"/>
  <c r="H370" i="1"/>
  <c r="G370" i="1" s="1"/>
  <c r="H442" i="1"/>
  <c r="G442" i="1" s="1"/>
  <c r="H56" i="1"/>
  <c r="G56" i="1" s="1"/>
  <c r="H336" i="1"/>
  <c r="G336" i="1" s="1"/>
  <c r="H58" i="1"/>
  <c r="G58" i="1" s="1"/>
  <c r="H24" i="1"/>
  <c r="G24" i="1" s="1"/>
  <c r="H60" i="1"/>
  <c r="G60" i="1" s="1"/>
  <c r="H180" i="1"/>
  <c r="G180" i="1" s="1"/>
  <c r="H57" i="1"/>
  <c r="G57" i="1" s="1"/>
  <c r="H63" i="1"/>
  <c r="G63" i="1" s="1"/>
  <c r="H493" i="1"/>
  <c r="G493" i="1" s="1"/>
  <c r="H132" i="1"/>
  <c r="G132" i="1" s="1"/>
  <c r="H345" i="1"/>
  <c r="G345" i="1" s="1"/>
  <c r="H496" i="1"/>
  <c r="G496" i="1" s="1"/>
  <c r="H68" i="1"/>
  <c r="G68" i="1" s="1"/>
  <c r="H69" i="1"/>
  <c r="G69" i="1" s="1"/>
  <c r="H70" i="1"/>
  <c r="G70" i="1" s="1"/>
  <c r="H71" i="1"/>
  <c r="G71" i="1" s="1"/>
  <c r="H326" i="1"/>
  <c r="G326" i="1" s="1"/>
  <c r="H73" i="1"/>
  <c r="G73" i="1" s="1"/>
  <c r="H8" i="1"/>
  <c r="H269" i="1"/>
  <c r="H76" i="1"/>
  <c r="H77" i="1"/>
  <c r="H78" i="1"/>
  <c r="G78" i="1" s="1"/>
  <c r="H79" i="1"/>
  <c r="G79" i="1" s="1"/>
  <c r="H80" i="1"/>
  <c r="G80" i="1" s="1"/>
  <c r="H81" i="1"/>
  <c r="G81" i="1" s="1"/>
  <c r="H476" i="1"/>
  <c r="G476" i="1" s="1"/>
  <c r="H83" i="1"/>
  <c r="G83" i="1" s="1"/>
  <c r="H84" i="1"/>
  <c r="G84" i="1" s="1"/>
  <c r="H138" i="1"/>
  <c r="H86" i="1"/>
  <c r="G86" i="1" s="1"/>
  <c r="H55" i="1"/>
  <c r="G55" i="1" s="1"/>
  <c r="H168" i="1"/>
  <c r="G168" i="1" s="1"/>
  <c r="H89" i="1"/>
  <c r="G89" i="1" s="1"/>
  <c r="H184" i="1"/>
  <c r="G184" i="1" s="1"/>
  <c r="H91" i="1"/>
  <c r="G91" i="1" s="1"/>
  <c r="H92" i="1"/>
  <c r="G92" i="1" s="1"/>
  <c r="H93" i="1"/>
  <c r="G93" i="1" s="1"/>
  <c r="H94" i="1"/>
  <c r="G94" i="1" s="1"/>
  <c r="H95" i="1"/>
  <c r="G95" i="1" s="1"/>
  <c r="H96" i="1"/>
  <c r="G96" i="1" s="1"/>
  <c r="H97" i="1"/>
  <c r="G97" i="1" s="1"/>
  <c r="H98" i="1"/>
  <c r="G98" i="1" s="1"/>
  <c r="H129" i="1"/>
  <c r="G129" i="1" s="1"/>
  <c r="H100" i="1"/>
  <c r="G100" i="1" s="1"/>
  <c r="H306" i="1"/>
  <c r="G306" i="1" s="1"/>
  <c r="H5" i="1"/>
  <c r="G5" i="1" s="1"/>
  <c r="H103" i="1"/>
  <c r="G103" i="1" s="1"/>
  <c r="H32" i="1"/>
  <c r="G32" i="1" s="1"/>
  <c r="H302" i="1"/>
  <c r="G302" i="1" s="1"/>
  <c r="H474" i="1"/>
  <c r="G474" i="1" s="1"/>
  <c r="H240" i="1"/>
  <c r="G240" i="1" s="1"/>
  <c r="H108" i="1"/>
  <c r="H109" i="1"/>
  <c r="G109" i="1" s="1"/>
  <c r="H185" i="1"/>
  <c r="G185" i="1" s="1"/>
  <c r="H415" i="1"/>
  <c r="G415" i="1" s="1"/>
  <c r="H112" i="1"/>
  <c r="G112" i="1" s="1"/>
  <c r="H113" i="1"/>
  <c r="G113" i="1" s="1"/>
  <c r="H61" i="1"/>
  <c r="G61" i="1" s="1"/>
  <c r="H162" i="1"/>
  <c r="G162" i="1" s="1"/>
  <c r="H123" i="1"/>
  <c r="G123" i="1" s="1"/>
  <c r="H117" i="1"/>
  <c r="G117" i="1" s="1"/>
  <c r="H118" i="1"/>
  <c r="G118" i="1" s="1"/>
  <c r="H119" i="1"/>
  <c r="G119" i="1" s="1"/>
  <c r="H120" i="1"/>
  <c r="G120" i="1" s="1"/>
  <c r="H121" i="1"/>
  <c r="G121" i="1" s="1"/>
  <c r="H122" i="1"/>
  <c r="G122" i="1" s="1"/>
  <c r="H309" i="1"/>
  <c r="G309" i="1" s="1"/>
  <c r="H124" i="1"/>
  <c r="G124" i="1" s="1"/>
  <c r="H343" i="1"/>
  <c r="G343" i="1" s="1"/>
  <c r="H206" i="1"/>
  <c r="G206" i="1" s="1"/>
  <c r="H82" i="1"/>
  <c r="G82" i="1" s="1"/>
  <c r="H128" i="1"/>
  <c r="G128" i="1" s="1"/>
  <c r="H90" i="1"/>
  <c r="G90" i="1" s="1"/>
  <c r="H2" i="1"/>
  <c r="G2" i="1" s="1"/>
  <c r="H111" i="1"/>
  <c r="G111" i="1" s="1"/>
  <c r="H264" i="1"/>
  <c r="G264" i="1" s="1"/>
  <c r="H177" i="1"/>
  <c r="G177" i="1" s="1"/>
  <c r="H134" i="1"/>
  <c r="G134" i="1" s="1"/>
  <c r="H135" i="1"/>
  <c r="G135" i="1" s="1"/>
  <c r="H136" i="1"/>
  <c r="G136" i="1" s="1"/>
  <c r="H137" i="1"/>
  <c r="G137" i="1" s="1"/>
  <c r="H463" i="1"/>
  <c r="G463" i="1" s="1"/>
  <c r="H130" i="1"/>
  <c r="G130" i="1" s="1"/>
  <c r="H140" i="1"/>
  <c r="G140" i="1" s="1"/>
  <c r="H141" i="1"/>
  <c r="G141" i="1" s="1"/>
  <c r="H142" i="1"/>
  <c r="G142" i="1" s="1"/>
  <c r="H479" i="1"/>
  <c r="G479" i="1" s="1"/>
  <c r="H105" i="1"/>
  <c r="G105" i="1" s="1"/>
  <c r="H359" i="1"/>
  <c r="G359" i="1" s="1"/>
  <c r="H146" i="1"/>
  <c r="G146" i="1" s="1"/>
  <c r="H446" i="1"/>
  <c r="G446" i="1" s="1"/>
  <c r="H148" i="1"/>
  <c r="G148" i="1" s="1"/>
  <c r="H149" i="1"/>
  <c r="G149" i="1" s="1"/>
  <c r="H150" i="1"/>
  <c r="G150" i="1" s="1"/>
  <c r="H379" i="1"/>
  <c r="G379" i="1" s="1"/>
  <c r="H152" i="1"/>
  <c r="G152" i="1" s="1"/>
  <c r="H153" i="1"/>
  <c r="G153" i="1" s="1"/>
  <c r="H270" i="1"/>
  <c r="G270" i="1" s="1"/>
  <c r="H155" i="1"/>
  <c r="G155" i="1" s="1"/>
  <c r="H156" i="1"/>
  <c r="G156" i="1" s="1"/>
  <c r="H41" i="1"/>
  <c r="G41" i="1" s="1"/>
  <c r="H158" i="1"/>
  <c r="G158" i="1" s="1"/>
  <c r="H159" i="1"/>
  <c r="G159" i="1" s="1"/>
  <c r="H33" i="1"/>
  <c r="G33" i="1" s="1"/>
  <c r="H398" i="1"/>
  <c r="G398" i="1" s="1"/>
  <c r="H116" i="1"/>
  <c r="G116" i="1" s="1"/>
  <c r="H226" i="1"/>
  <c r="G226" i="1" s="1"/>
  <c r="H164" i="1"/>
  <c r="G164" i="1" s="1"/>
  <c r="H165" i="1"/>
  <c r="G165" i="1" s="1"/>
  <c r="H166" i="1"/>
  <c r="G166" i="1" s="1"/>
  <c r="H315" i="1"/>
  <c r="G315" i="1" s="1"/>
  <c r="H392" i="1"/>
  <c r="G392" i="1" s="1"/>
  <c r="H169" i="1"/>
  <c r="G169" i="1" s="1"/>
  <c r="H104" i="1"/>
  <c r="G104" i="1" s="1"/>
  <c r="H171" i="1"/>
  <c r="G171" i="1" s="1"/>
  <c r="H172" i="1"/>
  <c r="G172" i="1" s="1"/>
  <c r="H199" i="1"/>
  <c r="G199" i="1" s="1"/>
  <c r="H31" i="1"/>
  <c r="G31" i="1" s="1"/>
  <c r="H175" i="1"/>
  <c r="G175" i="1" s="1"/>
  <c r="H227" i="1"/>
  <c r="G227" i="1" s="1"/>
  <c r="H319" i="1"/>
  <c r="G319" i="1" s="1"/>
  <c r="H176" i="1"/>
  <c r="G176" i="1" s="1"/>
  <c r="H485" i="1"/>
  <c r="G485" i="1" s="1"/>
  <c r="H196" i="1"/>
  <c r="G196" i="1" s="1"/>
  <c r="H222" i="1"/>
  <c r="G222" i="1" s="1"/>
  <c r="H174" i="1"/>
  <c r="G174" i="1" s="1"/>
  <c r="H182" i="1"/>
  <c r="G182" i="1" s="1"/>
  <c r="H300" i="1"/>
  <c r="G300" i="1" s="1"/>
  <c r="H335" i="1"/>
  <c r="G335" i="1" s="1"/>
  <c r="H405" i="1"/>
  <c r="G405" i="1" s="1"/>
  <c r="H187" i="1"/>
  <c r="G187" i="1" s="1"/>
  <c r="H188" i="1"/>
  <c r="G188" i="1" s="1"/>
  <c r="H189" i="1"/>
  <c r="G189" i="1" s="1"/>
  <c r="H190" i="1"/>
  <c r="G190" i="1" s="1"/>
  <c r="H191" i="1"/>
  <c r="G191" i="1" s="1"/>
  <c r="H366" i="1"/>
  <c r="G366" i="1" s="1"/>
  <c r="H193" i="1"/>
  <c r="G193" i="1" s="1"/>
  <c r="H194" i="1"/>
  <c r="G194" i="1" s="1"/>
  <c r="H287" i="1"/>
  <c r="G287" i="1" s="1"/>
  <c r="H179" i="1"/>
  <c r="G179" i="1" s="1"/>
  <c r="H292" i="1"/>
  <c r="G292" i="1" s="1"/>
  <c r="H198" i="1"/>
  <c r="G198" i="1" s="1"/>
  <c r="H413" i="1"/>
  <c r="G413" i="1" s="1"/>
  <c r="H425" i="1"/>
  <c r="G425" i="1" s="1"/>
  <c r="H201" i="1"/>
  <c r="G201" i="1" s="1"/>
  <c r="H321" i="1"/>
  <c r="G321" i="1" s="1"/>
  <c r="H203" i="1"/>
  <c r="G203" i="1" s="1"/>
  <c r="H74" i="1"/>
  <c r="G74" i="1" s="1"/>
  <c r="H205" i="1"/>
  <c r="G205" i="1" s="1"/>
  <c r="H375" i="1"/>
  <c r="G375" i="1" s="1"/>
  <c r="H207" i="1"/>
  <c r="G207" i="1" s="1"/>
  <c r="H250" i="1"/>
  <c r="G250" i="1" s="1"/>
  <c r="H209" i="1"/>
  <c r="G209" i="1" s="1"/>
  <c r="H210" i="1"/>
  <c r="G210" i="1" s="1"/>
  <c r="H211" i="1"/>
  <c r="G211" i="1" s="1"/>
  <c r="H87" i="1"/>
  <c r="G87" i="1" s="1"/>
  <c r="H213" i="1"/>
  <c r="G213" i="1" s="1"/>
  <c r="H214" i="1"/>
  <c r="G214" i="1" s="1"/>
  <c r="H255" i="1"/>
  <c r="G255" i="1" s="1"/>
  <c r="H216" i="1"/>
  <c r="G216" i="1" s="1"/>
  <c r="H217" i="1"/>
  <c r="G217" i="1" s="1"/>
  <c r="H218" i="1"/>
  <c r="G218" i="1" s="1"/>
  <c r="H173" i="1"/>
  <c r="G173" i="1" s="1"/>
  <c r="H186" i="1"/>
  <c r="G186" i="1" s="1"/>
  <c r="H221" i="1"/>
  <c r="G221" i="1" s="1"/>
  <c r="H313" i="1"/>
  <c r="G313" i="1" s="1"/>
  <c r="H133" i="1"/>
  <c r="G133" i="1" s="1"/>
  <c r="H374" i="1"/>
  <c r="G374" i="1" s="1"/>
  <c r="H115" i="1"/>
  <c r="G115" i="1" s="1"/>
  <c r="H438" i="1"/>
  <c r="G438" i="1" s="1"/>
  <c r="H265" i="1"/>
  <c r="G265" i="1" s="1"/>
  <c r="H228" i="1"/>
  <c r="G228" i="1" s="1"/>
  <c r="H229" i="1"/>
  <c r="G229" i="1" s="1"/>
  <c r="H347" i="1"/>
  <c r="G347" i="1" s="1"/>
  <c r="H436" i="1"/>
  <c r="G436" i="1" s="1"/>
  <c r="H232" i="1"/>
  <c r="G232" i="1" s="1"/>
  <c r="H202" i="1"/>
  <c r="G202" i="1" s="1"/>
  <c r="H234" i="1"/>
  <c r="G234" i="1" s="1"/>
  <c r="H235" i="1"/>
  <c r="G235" i="1" s="1"/>
  <c r="H236" i="1"/>
  <c r="H237" i="1"/>
  <c r="G237" i="1" s="1"/>
  <c r="H308" i="1"/>
  <c r="G308" i="1" s="1"/>
  <c r="H239" i="1"/>
  <c r="G239" i="1" s="1"/>
  <c r="H403" i="1"/>
  <c r="G403" i="1" s="1"/>
  <c r="H349" i="1"/>
  <c r="G349" i="1" s="1"/>
  <c r="H242" i="1"/>
  <c r="G242" i="1" s="1"/>
  <c r="H144" i="1"/>
  <c r="G144" i="1" s="1"/>
  <c r="H225" i="1"/>
  <c r="G225" i="1" s="1"/>
  <c r="H167" i="1"/>
  <c r="G167" i="1" s="1"/>
  <c r="H230" i="1"/>
  <c r="G230" i="1" s="1"/>
  <c r="H247" i="1"/>
  <c r="G247" i="1" s="1"/>
  <c r="H248" i="1"/>
  <c r="G248" i="1" s="1"/>
  <c r="H357" i="1"/>
  <c r="G357" i="1" s="1"/>
  <c r="H85" i="1"/>
  <c r="G85" i="1" s="1"/>
  <c r="H251" i="1"/>
  <c r="G251" i="1" s="1"/>
  <c r="H219" i="1"/>
  <c r="H253" i="1"/>
  <c r="G253" i="1" s="1"/>
  <c r="H289" i="1"/>
  <c r="G289" i="1" s="1"/>
  <c r="H324" i="1"/>
  <c r="G324" i="1" s="1"/>
  <c r="H435" i="1"/>
  <c r="G435" i="1" s="1"/>
  <c r="H257" i="1"/>
  <c r="G257" i="1" s="1"/>
  <c r="H64" i="1"/>
  <c r="G64" i="1" s="1"/>
  <c r="H139" i="1"/>
  <c r="G139" i="1" s="1"/>
  <c r="H260" i="1"/>
  <c r="G260" i="1" s="1"/>
  <c r="H99" i="1"/>
  <c r="G99" i="1" s="1"/>
  <c r="H283" i="1"/>
  <c r="G283" i="1" s="1"/>
  <c r="H263" i="1"/>
  <c r="G263" i="1" s="1"/>
  <c r="H224" i="1"/>
  <c r="G224" i="1" s="1"/>
  <c r="H254" i="1"/>
  <c r="G254" i="1" s="1"/>
  <c r="H266" i="1"/>
  <c r="G266" i="1" s="1"/>
  <c r="H489" i="1"/>
  <c r="G489" i="1" s="1"/>
  <c r="H54" i="1"/>
  <c r="G54" i="1" s="1"/>
  <c r="H125" i="1"/>
  <c r="G125" i="1" s="1"/>
  <c r="H404" i="1"/>
  <c r="G404" i="1" s="1"/>
  <c r="H107" i="1"/>
  <c r="G107" i="1" s="1"/>
  <c r="H272" i="1"/>
  <c r="G272" i="1" s="1"/>
  <c r="H273" i="1"/>
  <c r="G273" i="1" s="1"/>
  <c r="H274" i="1"/>
  <c r="G274" i="1" s="1"/>
  <c r="H275" i="1"/>
  <c r="G275" i="1" s="1"/>
  <c r="H200" i="1"/>
  <c r="G200" i="1" s="1"/>
  <c r="H277" i="1"/>
  <c r="G277" i="1" s="1"/>
  <c r="H350" i="1"/>
  <c r="G350" i="1" s="1"/>
  <c r="H400" i="1"/>
  <c r="G400" i="1" s="1"/>
  <c r="H280" i="1"/>
  <c r="G280" i="1" s="1"/>
  <c r="H143" i="1"/>
  <c r="G143" i="1" s="1"/>
  <c r="H473" i="1"/>
  <c r="G473" i="1" s="1"/>
  <c r="H131" i="1"/>
  <c r="G131" i="1" s="1"/>
  <c r="H284" i="1"/>
  <c r="H285" i="1"/>
  <c r="G285" i="1" s="1"/>
  <c r="H197" i="1"/>
  <c r="G197" i="1" s="1"/>
  <c r="H20" i="1"/>
  <c r="G20" i="1" s="1"/>
  <c r="H288" i="1"/>
  <c r="G288" i="1" s="1"/>
  <c r="H381" i="1"/>
  <c r="G381" i="1" s="1"/>
  <c r="H290" i="1"/>
  <c r="G290" i="1" s="1"/>
  <c r="H279" i="1"/>
  <c r="G279" i="1" s="1"/>
  <c r="H259" i="1"/>
  <c r="G259" i="1" s="1"/>
  <c r="H154" i="1"/>
  <c r="G154" i="1" s="1"/>
  <c r="H147" i="1"/>
  <c r="G147" i="1" s="1"/>
  <c r="H295" i="1"/>
  <c r="G295" i="1" s="1"/>
  <c r="H296" i="1"/>
  <c r="G296" i="1" s="1"/>
  <c r="H195" i="1"/>
  <c r="G195" i="1" s="1"/>
  <c r="H42" i="1"/>
  <c r="G42" i="1" s="1"/>
  <c r="H299" i="1"/>
  <c r="G299" i="1" s="1"/>
  <c r="H28" i="1"/>
  <c r="G28" i="1" s="1"/>
  <c r="H301" i="1"/>
  <c r="G301" i="1" s="1"/>
  <c r="H401" i="1"/>
  <c r="G401" i="1" s="1"/>
  <c r="H303" i="1"/>
  <c r="G303" i="1" s="1"/>
  <c r="H304" i="1"/>
  <c r="G304" i="1" s="1"/>
  <c r="H334" i="1"/>
  <c r="G334" i="1" s="1"/>
  <c r="H420" i="1"/>
  <c r="G420" i="1" s="1"/>
  <c r="H307" i="1"/>
  <c r="G307" i="1" s="1"/>
  <c r="H244" i="1"/>
  <c r="G244" i="1" s="1"/>
  <c r="H88" i="1"/>
  <c r="G88" i="1" s="1"/>
  <c r="H353" i="1"/>
  <c r="G353" i="1" s="1"/>
  <c r="H311" i="1"/>
  <c r="G311" i="1" s="1"/>
  <c r="H312" i="1"/>
  <c r="G312" i="1" s="1"/>
  <c r="H291" i="1"/>
  <c r="G291" i="1" s="1"/>
  <c r="H276" i="1"/>
  <c r="G276" i="1" s="1"/>
  <c r="H204" i="1"/>
  <c r="G204" i="1" s="1"/>
  <c r="H212" i="1"/>
  <c r="H317" i="1"/>
  <c r="G317" i="1" s="1"/>
  <c r="H318" i="1"/>
  <c r="G318" i="1" s="1"/>
  <c r="H389" i="1"/>
  <c r="G389" i="1" s="1"/>
  <c r="H341" i="1"/>
  <c r="G341" i="1" s="1"/>
  <c r="H7" i="1"/>
  <c r="G7" i="1" s="1"/>
  <c r="H322" i="1"/>
  <c r="G322" i="1" s="1"/>
  <c r="H323" i="1"/>
  <c r="G323" i="1" s="1"/>
  <c r="H23" i="1"/>
  <c r="G23" i="1" s="1"/>
  <c r="H325" i="1"/>
  <c r="G325" i="1" s="1"/>
  <c r="H51" i="1"/>
  <c r="G51" i="1" s="1"/>
  <c r="H6" i="1"/>
  <c r="G6" i="1" s="1"/>
  <c r="H59" i="1"/>
  <c r="G59" i="1" s="1"/>
  <c r="H329" i="1"/>
  <c r="G329" i="1" s="1"/>
  <c r="H157" i="1"/>
  <c r="G157" i="1" s="1"/>
  <c r="H331" i="1"/>
  <c r="G331" i="1" s="1"/>
  <c r="H332" i="1"/>
  <c r="G332" i="1" s="1"/>
  <c r="H333" i="1"/>
  <c r="G333" i="1" s="1"/>
  <c r="H45" i="1"/>
  <c r="G45" i="1" s="1"/>
  <c r="H271" i="1"/>
  <c r="G271" i="1" s="1"/>
  <c r="H106" i="1"/>
  <c r="G106" i="1" s="1"/>
  <c r="H337" i="1"/>
  <c r="G337" i="1" s="1"/>
  <c r="H338" i="1"/>
  <c r="G338" i="1" s="1"/>
  <c r="H339" i="1"/>
  <c r="G339" i="1" s="1"/>
  <c r="H183" i="1"/>
  <c r="G183" i="1" s="1"/>
  <c r="H114" i="1"/>
  <c r="G114" i="1" s="1"/>
  <c r="H342" i="1"/>
  <c r="G342" i="1" s="1"/>
  <c r="H372" i="1"/>
  <c r="G372" i="1" s="1"/>
  <c r="H344" i="1"/>
  <c r="G344" i="1" s="1"/>
  <c r="H387" i="1"/>
  <c r="G387" i="1" s="1"/>
  <c r="H346" i="1"/>
  <c r="G346" i="1" s="1"/>
  <c r="H406" i="1"/>
  <c r="G406" i="1" s="1"/>
  <c r="H348" i="1"/>
  <c r="G348" i="1" s="1"/>
  <c r="H314" i="1"/>
  <c r="G314" i="1" s="1"/>
  <c r="H192" i="1"/>
  <c r="G192" i="1" s="1"/>
  <c r="H351" i="1"/>
  <c r="G351" i="1" s="1"/>
  <c r="H352" i="1"/>
  <c r="G352" i="1" s="1"/>
  <c r="H281" i="1"/>
  <c r="G281" i="1" s="1"/>
  <c r="H354" i="1"/>
  <c r="G354" i="1" s="1"/>
  <c r="H355" i="1"/>
  <c r="G355" i="1" s="1"/>
  <c r="H356" i="1"/>
  <c r="G356" i="1" s="1"/>
  <c r="H14" i="1"/>
  <c r="G14" i="1" s="1"/>
  <c r="H358" i="1"/>
  <c r="G358" i="1" s="1"/>
  <c r="H233" i="1"/>
  <c r="G233" i="1" s="1"/>
  <c r="H500" i="1"/>
  <c r="G500" i="1" s="1"/>
  <c r="H238" i="1"/>
  <c r="G238" i="1" s="1"/>
  <c r="H362" i="1"/>
  <c r="G362" i="1" s="1"/>
  <c r="H145" i="1"/>
  <c r="G145" i="1" s="1"/>
  <c r="H102" i="1"/>
  <c r="G102" i="1" s="1"/>
  <c r="H365" i="1"/>
  <c r="G365" i="1" s="1"/>
  <c r="H249" i="1"/>
  <c r="G249" i="1" s="1"/>
  <c r="H367" i="1"/>
  <c r="G367" i="1" s="1"/>
  <c r="H368" i="1"/>
  <c r="G368" i="1" s="1"/>
  <c r="H369" i="1"/>
  <c r="G369" i="1" s="1"/>
  <c r="H19" i="1"/>
  <c r="G19" i="1" s="1"/>
  <c r="H371" i="1"/>
  <c r="G371" i="1" s="1"/>
  <c r="H258" i="1"/>
  <c r="G258" i="1" s="1"/>
  <c r="H373" i="1"/>
  <c r="G373" i="1" s="1"/>
  <c r="H215" i="1"/>
  <c r="G215" i="1" s="1"/>
  <c r="H126" i="1"/>
  <c r="G126" i="1" s="1"/>
  <c r="H376" i="1"/>
  <c r="G376" i="1" s="1"/>
  <c r="H377" i="1"/>
  <c r="G377" i="1" s="1"/>
  <c r="H378" i="1"/>
  <c r="G378" i="1" s="1"/>
  <c r="H170" i="1"/>
  <c r="G170" i="1" s="1"/>
  <c r="H380" i="1"/>
  <c r="G380" i="1" s="1"/>
  <c r="H454" i="1"/>
  <c r="G454" i="1" s="1"/>
  <c r="H382" i="1"/>
  <c r="G382" i="1" s="1"/>
  <c r="H383" i="1"/>
  <c r="G383" i="1" s="1"/>
  <c r="H384" i="1"/>
  <c r="G384" i="1" s="1"/>
  <c r="H385" i="1"/>
  <c r="G385" i="1" s="1"/>
  <c r="H246" i="1"/>
  <c r="G246" i="1" s="1"/>
  <c r="H411" i="1"/>
  <c r="G411" i="1" s="1"/>
  <c r="H388" i="1"/>
  <c r="G388" i="1" s="1"/>
  <c r="H62" i="1"/>
  <c r="G62" i="1" s="1"/>
  <c r="H390" i="1"/>
  <c r="G390" i="1" s="1"/>
  <c r="H391" i="1"/>
  <c r="G391" i="1" s="1"/>
  <c r="H48" i="1"/>
  <c r="G48" i="1" s="1"/>
  <c r="H393" i="1"/>
  <c r="G393" i="1" s="1"/>
  <c r="H394" i="1"/>
  <c r="G394" i="1" s="1"/>
  <c r="H395" i="1"/>
  <c r="G395" i="1" s="1"/>
  <c r="H396" i="1"/>
  <c r="G396" i="1" s="1"/>
  <c r="H397" i="1"/>
  <c r="G397" i="1" s="1"/>
  <c r="H160" i="1"/>
  <c r="G160" i="1" s="1"/>
  <c r="H399" i="1"/>
  <c r="G399" i="1" s="1"/>
  <c r="H75" i="1"/>
  <c r="G75" i="1" s="1"/>
  <c r="H452" i="1"/>
  <c r="G452" i="1" s="1"/>
  <c r="H402" i="1"/>
  <c r="G402" i="1" s="1"/>
  <c r="H223" i="1"/>
  <c r="G223" i="1" s="1"/>
  <c r="H328" i="1"/>
  <c r="G328" i="1" s="1"/>
  <c r="H72" i="1"/>
  <c r="G72" i="1" s="1"/>
  <c r="H364" i="1"/>
  <c r="G364" i="1" s="1"/>
  <c r="H268" i="1"/>
  <c r="G268" i="1" s="1"/>
  <c r="H408" i="1"/>
  <c r="G408" i="1" s="1"/>
  <c r="H409" i="1"/>
  <c r="G409" i="1" s="1"/>
  <c r="H410" i="1"/>
  <c r="G410" i="1" s="1"/>
  <c r="H267" i="1"/>
  <c r="G267" i="1" s="1"/>
  <c r="H412" i="1"/>
  <c r="G412" i="1" s="1"/>
  <c r="H386" i="1"/>
  <c r="G386" i="1" s="1"/>
  <c r="H414" i="1"/>
  <c r="G414" i="1" s="1"/>
  <c r="H320" i="1"/>
  <c r="G320" i="1" s="1"/>
  <c r="H416" i="1"/>
  <c r="G416" i="1" s="1"/>
  <c r="H417" i="1"/>
  <c r="G417" i="1" s="1"/>
  <c r="H418" i="1"/>
  <c r="G418" i="1" s="1"/>
  <c r="H419" i="1"/>
  <c r="G419" i="1" s="1"/>
  <c r="H427" i="1"/>
  <c r="G427" i="1" s="1"/>
  <c r="H421" i="1"/>
  <c r="G421" i="1" s="1"/>
  <c r="H422" i="1"/>
  <c r="G422" i="1" s="1"/>
  <c r="H423" i="1"/>
  <c r="G423" i="1" s="1"/>
  <c r="H424" i="1"/>
  <c r="G424" i="1" s="1"/>
  <c r="H181" i="1"/>
  <c r="G181" i="1" s="1"/>
  <c r="H426" i="1"/>
  <c r="G426" i="1" s="1"/>
  <c r="H231" i="1"/>
  <c r="G231" i="1" s="1"/>
  <c r="H428" i="1"/>
  <c r="G428" i="1" s="1"/>
  <c r="H220" i="1"/>
  <c r="G220" i="1" s="1"/>
  <c r="H430" i="1"/>
  <c r="G430" i="1" s="1"/>
  <c r="H431" i="1"/>
  <c r="G431" i="1" s="1"/>
  <c r="H432" i="1"/>
  <c r="G432" i="1" s="1"/>
  <c r="H433" i="1"/>
  <c r="G433" i="1" s="1"/>
  <c r="H434" i="1"/>
  <c r="G434" i="1" s="1"/>
  <c r="H110" i="1"/>
  <c r="G110" i="1" s="1"/>
  <c r="H298" i="1"/>
  <c r="G298" i="1" s="1"/>
  <c r="H437" i="1"/>
  <c r="G437" i="1" s="1"/>
  <c r="H262" i="1"/>
  <c r="G262" i="1" s="1"/>
  <c r="H439" i="1"/>
  <c r="G439" i="1" s="1"/>
  <c r="H440" i="1"/>
  <c r="G440" i="1" s="1"/>
  <c r="H441" i="1"/>
  <c r="G441" i="1" s="1"/>
  <c r="H35" i="1"/>
  <c r="G35" i="1" s="1"/>
  <c r="H443" i="1"/>
  <c r="G443" i="1" s="1"/>
  <c r="H444" i="1"/>
  <c r="H445" i="1"/>
  <c r="G445" i="1" s="1"/>
  <c r="H363" i="1"/>
  <c r="G363" i="1" s="1"/>
  <c r="H447" i="1"/>
  <c r="G447" i="1" s="1"/>
  <c r="H448" i="1"/>
  <c r="G448" i="1" s="1"/>
  <c r="H297" i="1"/>
  <c r="G297" i="1" s="1"/>
  <c r="H316" i="1"/>
  <c r="G316" i="1" s="1"/>
  <c r="H451" i="1"/>
  <c r="G451" i="1" s="1"/>
  <c r="H243" i="1"/>
  <c r="G243" i="1" s="1"/>
  <c r="H453" i="1"/>
  <c r="G453" i="1" s="1"/>
  <c r="H293" i="1"/>
  <c r="G293" i="1" s="1"/>
  <c r="H455" i="1"/>
  <c r="G455" i="1" s="1"/>
  <c r="H456" i="1"/>
  <c r="G456" i="1" s="1"/>
  <c r="H457" i="1"/>
  <c r="G457" i="1" s="1"/>
  <c r="H458" i="1"/>
  <c r="G458" i="1" s="1"/>
  <c r="H459" i="1"/>
  <c r="G459" i="1" s="1"/>
  <c r="H460" i="1"/>
  <c r="H461" i="1"/>
  <c r="G461" i="1" s="1"/>
  <c r="H462" i="1"/>
  <c r="G462" i="1" s="1"/>
  <c r="H208" i="1"/>
  <c r="G208" i="1" s="1"/>
  <c r="H498" i="1"/>
  <c r="G498" i="1" s="1"/>
  <c r="H465" i="1"/>
  <c r="G465" i="1" s="1"/>
  <c r="H466" i="1"/>
  <c r="G466" i="1" s="1"/>
  <c r="H467" i="1"/>
  <c r="G467" i="1" s="1"/>
  <c r="H468" i="1"/>
  <c r="G468" i="1" s="1"/>
  <c r="H469" i="1"/>
  <c r="G469" i="1" s="1"/>
  <c r="H470" i="1"/>
  <c r="G470" i="1" s="1"/>
  <c r="H471" i="1"/>
  <c r="G471" i="1" s="1"/>
  <c r="H472" i="1"/>
  <c r="G472" i="1" s="1"/>
  <c r="H4" i="1"/>
  <c r="G4" i="1" s="1"/>
  <c r="H256" i="1"/>
  <c r="G256" i="1" s="1"/>
  <c r="H475" i="1"/>
  <c r="G475" i="1" s="1"/>
  <c r="H52" i="1"/>
  <c r="G52" i="1" s="1"/>
  <c r="H477" i="1"/>
  <c r="G477" i="1" s="1"/>
  <c r="H478" i="1"/>
  <c r="G478" i="1" s="1"/>
  <c r="H305" i="1"/>
  <c r="G305" i="1" s="1"/>
  <c r="H480" i="1"/>
  <c r="G480" i="1" s="1"/>
  <c r="H481" i="1"/>
  <c r="G481" i="1" s="1"/>
  <c r="H482" i="1"/>
  <c r="G482" i="1" s="1"/>
  <c r="H483" i="1"/>
  <c r="G483" i="1" s="1"/>
  <c r="H484" i="1"/>
  <c r="G484" i="1" s="1"/>
  <c r="H49" i="1"/>
  <c r="G49" i="1" s="1"/>
  <c r="H241" i="1"/>
  <c r="G241" i="1" s="1"/>
  <c r="H487" i="1"/>
  <c r="G487" i="1" s="1"/>
  <c r="H488" i="1"/>
  <c r="G488" i="1" s="1"/>
  <c r="H163" i="1"/>
  <c r="G163" i="1" s="1"/>
  <c r="H490" i="1"/>
  <c r="G490" i="1" s="1"/>
  <c r="H491" i="1"/>
  <c r="G491" i="1" s="1"/>
  <c r="H492" i="1"/>
  <c r="H151" i="1"/>
  <c r="G151" i="1" s="1"/>
  <c r="H494" i="1"/>
  <c r="G494" i="1" s="1"/>
  <c r="H495" i="1"/>
  <c r="G495" i="1" s="1"/>
  <c r="H310" i="1"/>
  <c r="G310" i="1" s="1"/>
  <c r="H497" i="1"/>
  <c r="G497" i="1" s="1"/>
  <c r="H67" i="1"/>
  <c r="G67" i="1" s="1"/>
  <c r="H499" i="1"/>
  <c r="G499" i="1" s="1"/>
  <c r="H282" i="1"/>
  <c r="G282" i="1" s="1"/>
  <c r="H501" i="1"/>
  <c r="G330" i="1"/>
  <c r="G486" i="1"/>
  <c r="G8" i="1"/>
  <c r="G269" i="1"/>
  <c r="G76" i="1"/>
  <c r="G77" i="1"/>
  <c r="G138" i="1"/>
  <c r="G108" i="1"/>
  <c r="G236" i="1"/>
  <c r="G219" i="1"/>
  <c r="G284" i="1"/>
  <c r="G212" i="1"/>
  <c r="G444" i="1"/>
  <c r="G460" i="1"/>
  <c r="G492" i="1"/>
  <c r="G501" i="1"/>
  <c r="I294" i="1"/>
  <c r="I3" i="1"/>
  <c r="I340" i="1"/>
  <c r="I330" i="1"/>
  <c r="I178" i="1"/>
  <c r="I407" i="1"/>
  <c r="I261" i="1"/>
  <c r="I9" i="1"/>
  <c r="I10" i="1"/>
  <c r="I11" i="1"/>
  <c r="I12" i="1"/>
  <c r="I13" i="1"/>
  <c r="I127" i="1"/>
  <c r="I15" i="1"/>
  <c r="I360" i="1"/>
  <c r="I17" i="1"/>
  <c r="I18" i="1"/>
  <c r="I286" i="1"/>
  <c r="I65" i="1"/>
  <c r="I21" i="1"/>
  <c r="I22" i="1"/>
  <c r="I245" i="1"/>
  <c r="I361" i="1"/>
  <c r="I25" i="1"/>
  <c r="I26" i="1"/>
  <c r="I27" i="1"/>
  <c r="I486" i="1"/>
  <c r="I29" i="1"/>
  <c r="I30" i="1"/>
  <c r="I278" i="1"/>
  <c r="I101" i="1"/>
  <c r="I161" i="1"/>
  <c r="I34" i="1"/>
  <c r="I16" i="1"/>
  <c r="I36" i="1"/>
  <c r="I37" i="1"/>
  <c r="I38" i="1"/>
  <c r="I39" i="1"/>
  <c r="I40" i="1"/>
  <c r="I464" i="1"/>
  <c r="I429" i="1"/>
  <c r="I43" i="1"/>
  <c r="I44" i="1"/>
  <c r="I66" i="1"/>
  <c r="I46" i="1"/>
  <c r="I47" i="1"/>
  <c r="I449" i="1"/>
  <c r="I252" i="1"/>
  <c r="I50" i="1"/>
  <c r="I450" i="1"/>
  <c r="I327" i="1"/>
  <c r="I53" i="1"/>
  <c r="I370" i="1"/>
  <c r="I442" i="1"/>
  <c r="I56" i="1"/>
  <c r="I336" i="1"/>
  <c r="I58" i="1"/>
  <c r="I24" i="1"/>
  <c r="I60" i="1"/>
  <c r="I180" i="1"/>
  <c r="I57" i="1"/>
  <c r="I63" i="1"/>
  <c r="I493" i="1"/>
  <c r="I132" i="1"/>
  <c r="I345" i="1"/>
  <c r="I496" i="1"/>
  <c r="I68" i="1"/>
  <c r="I69" i="1"/>
  <c r="I70" i="1"/>
  <c r="I71" i="1"/>
  <c r="I326" i="1"/>
  <c r="I73" i="1"/>
  <c r="I8" i="1"/>
  <c r="I269" i="1"/>
  <c r="I76" i="1"/>
  <c r="I77" i="1"/>
  <c r="I78" i="1"/>
  <c r="I79" i="1"/>
  <c r="I80" i="1"/>
  <c r="I81" i="1"/>
  <c r="I476" i="1"/>
  <c r="I83" i="1"/>
  <c r="I84" i="1"/>
  <c r="I138" i="1"/>
  <c r="I86" i="1"/>
  <c r="I55" i="1"/>
  <c r="I168" i="1"/>
  <c r="I89" i="1"/>
  <c r="I184" i="1"/>
  <c r="I91" i="1"/>
  <c r="I92" i="1"/>
  <c r="I93" i="1"/>
  <c r="I94" i="1"/>
  <c r="I95" i="1"/>
  <c r="I96" i="1"/>
  <c r="I97" i="1"/>
  <c r="I98" i="1"/>
  <c r="I129" i="1"/>
  <c r="I100" i="1"/>
  <c r="I306" i="1"/>
  <c r="I5" i="1"/>
  <c r="I103" i="1"/>
  <c r="I32" i="1"/>
  <c r="I302" i="1"/>
  <c r="I474" i="1"/>
  <c r="I240" i="1"/>
  <c r="I108" i="1"/>
  <c r="I109" i="1"/>
  <c r="I185" i="1"/>
  <c r="I415" i="1"/>
  <c r="I112" i="1"/>
  <c r="I113" i="1"/>
  <c r="I61" i="1"/>
  <c r="I162" i="1"/>
  <c r="I123" i="1"/>
  <c r="I117" i="1"/>
  <c r="I118" i="1"/>
  <c r="I119" i="1"/>
  <c r="I120" i="1"/>
  <c r="I121" i="1"/>
  <c r="I122" i="1"/>
  <c r="I309" i="1"/>
  <c r="I124" i="1"/>
  <c r="I343" i="1"/>
  <c r="I206" i="1"/>
  <c r="I82" i="1"/>
  <c r="I128" i="1"/>
  <c r="I90" i="1"/>
  <c r="I2" i="1"/>
  <c r="I111" i="1"/>
  <c r="I264" i="1"/>
  <c r="I177" i="1"/>
  <c r="I134" i="1"/>
  <c r="I135" i="1"/>
  <c r="I136" i="1"/>
  <c r="I137" i="1"/>
  <c r="I463" i="1"/>
  <c r="I130" i="1"/>
  <c r="I140" i="1"/>
  <c r="I141" i="1"/>
  <c r="I142" i="1"/>
  <c r="I479" i="1"/>
  <c r="I105" i="1"/>
  <c r="I359" i="1"/>
  <c r="I146" i="1"/>
  <c r="I446" i="1"/>
  <c r="I148" i="1"/>
  <c r="I149" i="1"/>
  <c r="I150" i="1"/>
  <c r="I379" i="1"/>
  <c r="I152" i="1"/>
  <c r="I153" i="1"/>
  <c r="I270" i="1"/>
  <c r="I155" i="1"/>
  <c r="I156" i="1"/>
  <c r="I41" i="1"/>
  <c r="I158" i="1"/>
  <c r="I159" i="1"/>
  <c r="I33" i="1"/>
  <c r="I398" i="1"/>
  <c r="I116" i="1"/>
  <c r="I226" i="1"/>
  <c r="I164" i="1"/>
  <c r="I165" i="1"/>
  <c r="I166" i="1"/>
  <c r="I315" i="1"/>
  <c r="I392" i="1"/>
  <c r="I169" i="1"/>
  <c r="I104" i="1"/>
  <c r="I171" i="1"/>
  <c r="I172" i="1"/>
  <c r="I199" i="1"/>
  <c r="I31" i="1"/>
  <c r="I175" i="1"/>
  <c r="I227" i="1"/>
  <c r="I319" i="1"/>
  <c r="I176" i="1"/>
  <c r="I485" i="1"/>
  <c r="I196" i="1"/>
  <c r="I222" i="1"/>
  <c r="I174" i="1"/>
  <c r="I182" i="1"/>
  <c r="I300" i="1"/>
  <c r="I335" i="1"/>
  <c r="I405" i="1"/>
  <c r="I187" i="1"/>
  <c r="I188" i="1"/>
  <c r="I189" i="1"/>
  <c r="I190" i="1"/>
  <c r="I191" i="1"/>
  <c r="I366" i="1"/>
  <c r="I193" i="1"/>
  <c r="I194" i="1"/>
  <c r="I287" i="1"/>
  <c r="I179" i="1"/>
  <c r="I292" i="1"/>
  <c r="I198" i="1"/>
  <c r="I413" i="1"/>
  <c r="I425" i="1"/>
  <c r="I201" i="1"/>
  <c r="I321" i="1"/>
  <c r="I203" i="1"/>
  <c r="I74" i="1"/>
  <c r="I205" i="1"/>
  <c r="I375" i="1"/>
  <c r="I207" i="1"/>
  <c r="I250" i="1"/>
  <c r="I209" i="1"/>
  <c r="I210" i="1"/>
  <c r="I211" i="1"/>
  <c r="I87" i="1"/>
  <c r="I213" i="1"/>
  <c r="I214" i="1"/>
  <c r="I255" i="1"/>
  <c r="I216" i="1"/>
  <c r="I217" i="1"/>
  <c r="I218" i="1"/>
  <c r="I173" i="1"/>
  <c r="I186" i="1"/>
  <c r="I221" i="1"/>
  <c r="I313" i="1"/>
  <c r="I133" i="1"/>
  <c r="I374" i="1"/>
  <c r="I115" i="1"/>
  <c r="I438" i="1"/>
  <c r="I265" i="1"/>
  <c r="I228" i="1"/>
  <c r="I229" i="1"/>
  <c r="I347" i="1"/>
  <c r="I436" i="1"/>
  <c r="I232" i="1"/>
  <c r="I202" i="1"/>
  <c r="I234" i="1"/>
  <c r="I235" i="1"/>
  <c r="I236" i="1"/>
  <c r="I237" i="1"/>
  <c r="I308" i="1"/>
  <c r="I239" i="1"/>
  <c r="I403" i="1"/>
  <c r="I349" i="1"/>
  <c r="I242" i="1"/>
  <c r="I144" i="1"/>
  <c r="I225" i="1"/>
  <c r="I167" i="1"/>
  <c r="I230" i="1"/>
  <c r="I247" i="1"/>
  <c r="I248" i="1"/>
  <c r="I357" i="1"/>
  <c r="I85" i="1"/>
  <c r="I251" i="1"/>
  <c r="I219" i="1"/>
  <c r="I253" i="1"/>
  <c r="I289" i="1"/>
  <c r="I324" i="1"/>
  <c r="I435" i="1"/>
  <c r="I257" i="1"/>
  <c r="I64" i="1"/>
  <c r="I139" i="1"/>
  <c r="I260" i="1"/>
  <c r="I99" i="1"/>
  <c r="I283" i="1"/>
  <c r="I263" i="1"/>
  <c r="I224" i="1"/>
  <c r="I254" i="1"/>
  <c r="I266" i="1"/>
  <c r="I489" i="1"/>
  <c r="I54" i="1"/>
  <c r="I125" i="1"/>
  <c r="I404" i="1"/>
  <c r="I107" i="1"/>
  <c r="I272" i="1"/>
  <c r="I273" i="1"/>
  <c r="I274" i="1"/>
  <c r="I275" i="1"/>
  <c r="I200" i="1"/>
  <c r="I277" i="1"/>
  <c r="I350" i="1"/>
  <c r="I400" i="1"/>
  <c r="I280" i="1"/>
  <c r="I143" i="1"/>
  <c r="I473" i="1"/>
  <c r="I131" i="1"/>
  <c r="I284" i="1"/>
  <c r="I285" i="1"/>
  <c r="I197" i="1"/>
  <c r="I20" i="1"/>
  <c r="I288" i="1"/>
  <c r="I381" i="1"/>
  <c r="I290" i="1"/>
  <c r="I279" i="1"/>
  <c r="I259" i="1"/>
  <c r="I154" i="1"/>
  <c r="I147" i="1"/>
  <c r="I295" i="1"/>
  <c r="I296" i="1"/>
  <c r="I195" i="1"/>
  <c r="I42" i="1"/>
  <c r="I299" i="1"/>
  <c r="I28" i="1"/>
  <c r="I301" i="1"/>
  <c r="I401" i="1"/>
  <c r="I303" i="1"/>
  <c r="I304" i="1"/>
  <c r="I334" i="1"/>
  <c r="I420" i="1"/>
  <c r="I307" i="1"/>
  <c r="I244" i="1"/>
  <c r="I88" i="1"/>
  <c r="I353" i="1"/>
  <c r="I311" i="1"/>
  <c r="I312" i="1"/>
  <c r="I291" i="1"/>
  <c r="I276" i="1"/>
  <c r="I204" i="1"/>
  <c r="I212" i="1"/>
  <c r="I317" i="1"/>
  <c r="I318" i="1"/>
  <c r="I389" i="1"/>
  <c r="I341" i="1"/>
  <c r="I7" i="1"/>
  <c r="I322" i="1"/>
  <c r="I323" i="1"/>
  <c r="I23" i="1"/>
  <c r="I325" i="1"/>
  <c r="I51" i="1"/>
  <c r="I6" i="1"/>
  <c r="I59" i="1"/>
  <c r="I329" i="1"/>
  <c r="I157" i="1"/>
  <c r="I331" i="1"/>
  <c r="I332" i="1"/>
  <c r="I333" i="1"/>
  <c r="I45" i="1"/>
  <c r="I271" i="1"/>
  <c r="I106" i="1"/>
  <c r="I337" i="1"/>
  <c r="I338" i="1"/>
  <c r="I339" i="1"/>
  <c r="I183" i="1"/>
  <c r="I114" i="1"/>
  <c r="I342" i="1"/>
  <c r="I372" i="1"/>
  <c r="I344" i="1"/>
  <c r="I387" i="1"/>
  <c r="I346" i="1"/>
  <c r="I406" i="1"/>
  <c r="I348" i="1"/>
  <c r="I314" i="1"/>
  <c r="I192" i="1"/>
  <c r="I351" i="1"/>
  <c r="I352" i="1"/>
  <c r="I281" i="1"/>
  <c r="I354" i="1"/>
  <c r="I355" i="1"/>
  <c r="I356" i="1"/>
  <c r="I14" i="1"/>
  <c r="I358" i="1"/>
  <c r="I233" i="1"/>
  <c r="I500" i="1"/>
  <c r="I238" i="1"/>
  <c r="I362" i="1"/>
  <c r="I145" i="1"/>
  <c r="I102" i="1"/>
  <c r="I365" i="1"/>
  <c r="I249" i="1"/>
  <c r="I367" i="1"/>
  <c r="I368" i="1"/>
  <c r="I369" i="1"/>
  <c r="I19" i="1"/>
  <c r="I371" i="1"/>
  <c r="I258" i="1"/>
  <c r="I373" i="1"/>
  <c r="I215" i="1"/>
  <c r="I126" i="1"/>
  <c r="I376" i="1"/>
  <c r="I377" i="1"/>
  <c r="I378" i="1"/>
  <c r="I170" i="1"/>
  <c r="I380" i="1"/>
  <c r="I454" i="1"/>
  <c r="I382" i="1"/>
  <c r="I383" i="1"/>
  <c r="I384" i="1"/>
  <c r="I385" i="1"/>
  <c r="I246" i="1"/>
  <c r="I411" i="1"/>
  <c r="I388" i="1"/>
  <c r="I62" i="1"/>
  <c r="I390" i="1"/>
  <c r="I391" i="1"/>
  <c r="I48" i="1"/>
  <c r="I393" i="1"/>
  <c r="I394" i="1"/>
  <c r="I395" i="1"/>
  <c r="I396" i="1"/>
  <c r="I397" i="1"/>
  <c r="I160" i="1"/>
  <c r="I399" i="1"/>
  <c r="I75" i="1"/>
  <c r="I452" i="1"/>
  <c r="I402" i="1"/>
  <c r="I223" i="1"/>
  <c r="I328" i="1"/>
  <c r="I72" i="1"/>
  <c r="I364" i="1"/>
  <c r="I268" i="1"/>
  <c r="I408" i="1"/>
  <c r="I409" i="1"/>
  <c r="I410" i="1"/>
  <c r="I267" i="1"/>
  <c r="I412" i="1"/>
  <c r="I386" i="1"/>
  <c r="I414" i="1"/>
  <c r="I320" i="1"/>
  <c r="I416" i="1"/>
  <c r="I417" i="1"/>
  <c r="I418" i="1"/>
  <c r="I419" i="1"/>
  <c r="I427" i="1"/>
  <c r="I421" i="1"/>
  <c r="I422" i="1"/>
  <c r="I423" i="1"/>
  <c r="I424" i="1"/>
  <c r="I181" i="1"/>
  <c r="I426" i="1"/>
  <c r="I231" i="1"/>
  <c r="I428" i="1"/>
  <c r="I220" i="1"/>
  <c r="I430" i="1"/>
  <c r="I431" i="1"/>
  <c r="I432" i="1"/>
  <c r="I433" i="1"/>
  <c r="I434" i="1"/>
  <c r="I110" i="1"/>
  <c r="I298" i="1"/>
  <c r="I437" i="1"/>
  <c r="I262" i="1"/>
  <c r="I439" i="1"/>
  <c r="I440" i="1"/>
  <c r="I441" i="1"/>
  <c r="I35" i="1"/>
  <c r="I443" i="1"/>
  <c r="I444" i="1"/>
  <c r="I445" i="1"/>
  <c r="I363" i="1"/>
  <c r="I447" i="1"/>
  <c r="I448" i="1"/>
  <c r="I297" i="1"/>
  <c r="I316" i="1"/>
  <c r="I451" i="1"/>
  <c r="I243" i="1"/>
  <c r="I453" i="1"/>
  <c r="I293" i="1"/>
  <c r="I455" i="1"/>
  <c r="I456" i="1"/>
  <c r="I457" i="1"/>
  <c r="I458" i="1"/>
  <c r="I459" i="1"/>
  <c r="I460" i="1"/>
  <c r="I461" i="1"/>
  <c r="I462" i="1"/>
  <c r="I208" i="1"/>
  <c r="I498" i="1"/>
  <c r="I465" i="1"/>
  <c r="I466" i="1"/>
  <c r="I467" i="1"/>
  <c r="I468" i="1"/>
  <c r="I469" i="1"/>
  <c r="I470" i="1"/>
  <c r="I471" i="1"/>
  <c r="I472" i="1"/>
  <c r="I4" i="1"/>
  <c r="I256" i="1"/>
  <c r="I475" i="1"/>
  <c r="I52" i="1"/>
  <c r="I477" i="1"/>
  <c r="I478" i="1"/>
  <c r="I305" i="1"/>
  <c r="I480" i="1"/>
  <c r="I481" i="1"/>
  <c r="I482" i="1"/>
  <c r="I483" i="1"/>
  <c r="I484" i="1"/>
  <c r="I49" i="1"/>
  <c r="I241" i="1"/>
  <c r="I487" i="1"/>
  <c r="I488" i="1"/>
  <c r="I163" i="1"/>
  <c r="I490" i="1"/>
  <c r="I491" i="1"/>
  <c r="I492" i="1"/>
  <c r="I151" i="1"/>
  <c r="I494" i="1"/>
  <c r="I495" i="1"/>
  <c r="I310" i="1"/>
  <c r="I497" i="1"/>
  <c r="I67" i="1"/>
  <c r="I499" i="1"/>
  <c r="I282" i="1"/>
  <c r="I501" i="1"/>
  <c r="G2" i="12"/>
  <c r="D2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2080E5-3D1C-4E40-ADF6-003FE77706CB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  <connection id="2" xr16:uid="{5E80E680-B20C-4CC3-B286-846D8C5D98DD}" keepAlive="1" name="Query - Sheet1 (2)" description="Connection to the 'Sheet1 (2)' query in the workbook." type="5" refreshedVersion="7" background="1" saveData="1">
    <dbPr connection="Provider=Microsoft.Mashup.OleDb.1;Data Source=$Workbook$;Location=&quot;Sheet1 (2)&quot;;Extended Properties=&quot;&quot;" command="SELECT * FROM [Sheet1 (2)]"/>
  </connection>
  <connection id="3" xr16:uid="{AF516B1C-E3B4-465A-BE4A-AB89FAE3E337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86109C7A-3955-4B26-83C0-A274266FBC12}" name="WorksheetConnection_sales_data (1).xlsx!Table1" type="102" refreshedVersion="7" minRefreshableVersion="5">
    <extLst>
      <ext xmlns:x15="http://schemas.microsoft.com/office/spreadsheetml/2010/11/main" uri="{DE250136-89BD-433C-8126-D09CA5730AF9}">
        <x15:connection id="Table1">
          <x15:rangePr sourceName="_xlcn.WorksheetConnection_sales_data1.xlsxTable11"/>
        </x15:connection>
      </ext>
    </extLst>
  </connection>
  <connection id="5" xr16:uid="{01033BE5-AACA-44F6-A46E-693993A5A900}" name="WorksheetConnection_Sales_Trend!$A:$I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_TrendAI1"/>
        </x15:connection>
      </ext>
    </extLst>
  </connection>
</connections>
</file>

<file path=xl/sharedStrings.xml><?xml version="1.0" encoding="utf-8"?>
<sst xmlns="http://schemas.openxmlformats.org/spreadsheetml/2006/main" count="1548" uniqueCount="35">
  <si>
    <t>Date</t>
  </si>
  <si>
    <t>Product</t>
  </si>
  <si>
    <t>Region</t>
  </si>
  <si>
    <t>Sales Amount</t>
  </si>
  <si>
    <t>Quantity Sold</t>
  </si>
  <si>
    <t>Salesperson</t>
  </si>
  <si>
    <t>Smartphone</t>
  </si>
  <si>
    <t>Tablet</t>
  </si>
  <si>
    <t>Laptop</t>
  </si>
  <si>
    <t>Monitor</t>
  </si>
  <si>
    <t>Keyboard</t>
  </si>
  <si>
    <t>North</t>
  </si>
  <si>
    <t>East</t>
  </si>
  <si>
    <t>West</t>
  </si>
  <si>
    <t>South</t>
  </si>
  <si>
    <t>Alice</t>
  </si>
  <si>
    <t>Ethan</t>
  </si>
  <si>
    <t>Bob</t>
  </si>
  <si>
    <t>Charlie</t>
  </si>
  <si>
    <t>Diana</t>
  </si>
  <si>
    <t>Row Labels</t>
  </si>
  <si>
    <t>Grand Total</t>
  </si>
  <si>
    <t>Sum of Sales Amount</t>
  </si>
  <si>
    <t>Year</t>
  </si>
  <si>
    <t>month</t>
  </si>
  <si>
    <t>Month2</t>
  </si>
  <si>
    <t>Count of Quantity Sold</t>
  </si>
  <si>
    <t>Total</t>
  </si>
  <si>
    <t xml:space="preserve">Average sales </t>
  </si>
  <si>
    <t>sales growth</t>
  </si>
  <si>
    <t>Units sold</t>
  </si>
  <si>
    <t>Top selling products</t>
  </si>
  <si>
    <t>sales by salesperson</t>
  </si>
  <si>
    <t>sales by region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</si>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</sst>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\ hh:mm:ss"/>
    <numFmt numFmtId="169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169" fontId="0" fillId="0" borderId="0" xfId="0" applyNumberFormat="1"/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22">
    <dxf>
      <alignment vertical="top"/>
    </dxf>
    <dxf>
      <alignment horizontal="left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9" formatCode="&quot;$&quot;#,##0.00"/>
    </dxf>
    <dxf>
      <numFmt numFmtId="164" formatCode="yyyy\-mm\-dd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(1).xlsx]Insight pivot!PivotTable2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 pivot'!$B$3</c:f>
              <c:strCache>
                <c:ptCount val="1"/>
                <c:pt idx="0">
                  <c:v>Count of Quantity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 pivot'!$A$4:$A$6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'Insight pivot'!$B$4:$B$6</c:f>
              <c:numCache>
                <c:formatCode>General</c:formatCode>
                <c:ptCount val="2"/>
                <c:pt idx="0">
                  <c:v>261</c:v>
                </c:pt>
                <c:pt idx="1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8-4670-86E6-9775AF15E199}"/>
            </c:ext>
          </c:extLst>
        </c:ser>
        <c:ser>
          <c:idx val="1"/>
          <c:order val="1"/>
          <c:tx>
            <c:strRef>
              <c:f>'Insight pivot'!$C$3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'Insight pivot'!$A$4:$A$6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'Insight pivot'!$C$4:$C$6</c:f>
              <c:numCache>
                <c:formatCode>General</c:formatCode>
                <c:ptCount val="2"/>
                <c:pt idx="0">
                  <c:v>278387.39999999997</c:v>
                </c:pt>
                <c:pt idx="1">
                  <c:v>255868.65000000002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8-4670-86E6-9775AF15E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987439"/>
        <c:axId val="425987855"/>
      </c:barChart>
      <c:catAx>
        <c:axId val="4259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987855"/>
        <c:crosses val="autoZero"/>
        <c:auto val="1"/>
        <c:lblAlgn val="ctr"/>
        <c:lblOffset val="100"/>
        <c:noMultiLvlLbl val="0"/>
      </c:catAx>
      <c:valAx>
        <c:axId val="42598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98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(1).xlsx]Insight pivot!PivotTable4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'Insight pivot'!$B$16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 pivot'!$A$17:$A$19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'Insight pivot'!$B$17:$B$19</c:f>
              <c:numCache>
                <c:formatCode>General</c:formatCode>
                <c:ptCount val="2"/>
                <c:pt idx="0">
                  <c:v>222069.53</c:v>
                </c:pt>
                <c:pt idx="1">
                  <c:v>211007.37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5-4E70-A14C-3B3BFE3780B8}"/>
            </c:ext>
          </c:extLst>
        </c:ser>
        <c:ser>
          <c:idx val="1"/>
          <c:order val="1"/>
          <c:tx>
            <c:strRef>
              <c:f>'Insight pivot'!$C$16</c:f>
              <c:strCache>
                <c:ptCount val="1"/>
                <c:pt idx="0">
                  <c:v>Count of Quantity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'Insight pivot'!$A$17:$A$19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'Insight pivot'!$C$17:$C$19</c:f>
              <c:numCache>
                <c:formatCode>General</c:formatCode>
                <c:ptCount val="2"/>
                <c:pt idx="0">
                  <c:v>210</c:v>
                </c:pt>
                <c:pt idx="1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15-4E70-A14C-3B3BFE378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4917615"/>
        <c:axId val="424918447"/>
      </c:barChart>
      <c:catAx>
        <c:axId val="424917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18447"/>
        <c:crosses val="autoZero"/>
        <c:auto val="1"/>
        <c:lblAlgn val="ctr"/>
        <c:lblOffset val="100"/>
        <c:noMultiLvlLbl val="0"/>
      </c:catAx>
      <c:valAx>
        <c:axId val="42491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1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(1).xlsx]Insight pivot!PivotTable3</c:name>
    <c:fmtId val="0"/>
  </c:pivotSource>
  <c:chart>
    <c:title>
      <c:layout>
        <c:manualLayout>
          <c:xMode val="edge"/>
          <c:yMode val="edge"/>
          <c:x val="0.46832739567496429"/>
          <c:y val="8.9781655671419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996845855363181"/>
          <c:y val="0.31022089806341774"/>
          <c:w val="0.62983715103793847"/>
          <c:h val="0.253606183842404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'Insight pivot'!$F$3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 pivot'!$E$4:$E$9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'Insight pivot'!$F$4:$F$9</c:f>
              <c:numCache>
                <c:formatCode>General</c:formatCode>
                <c:ptCount val="5"/>
                <c:pt idx="0">
                  <c:v>93</c:v>
                </c:pt>
                <c:pt idx="1">
                  <c:v>113</c:v>
                </c:pt>
                <c:pt idx="2">
                  <c:v>110</c:v>
                </c:pt>
                <c:pt idx="3">
                  <c:v>91</c:v>
                </c:pt>
                <c:pt idx="4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A-4080-9223-032945F7E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0685039"/>
        <c:axId val="590685871"/>
      </c:barChart>
      <c:catAx>
        <c:axId val="59068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685871"/>
        <c:crosses val="autoZero"/>
        <c:auto val="1"/>
        <c:lblAlgn val="ctr"/>
        <c:lblOffset val="100"/>
        <c:noMultiLvlLbl val="0"/>
      </c:catAx>
      <c:valAx>
        <c:axId val="59068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68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93548753091743"/>
          <c:y val="0.51332368589061506"/>
          <c:w val="0.20695500238262723"/>
          <c:h val="0.190541817407959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(1).xlsx]Insight pivot!PivotTable5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'Insight pivot'!$F$18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'Insight pivot'!$E$19:$E$24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Diana</c:v>
                </c:pt>
                <c:pt idx="4">
                  <c:v>Ethan</c:v>
                </c:pt>
              </c:strCache>
            </c:strRef>
          </c:cat>
          <c:val>
            <c:numRef>
              <c:f>'Insight pivot'!$F$19:$F$24</c:f>
              <c:numCache>
                <c:formatCode>General</c:formatCode>
                <c:ptCount val="5"/>
                <c:pt idx="0">
                  <c:v>113520.78999999996</c:v>
                </c:pt>
                <c:pt idx="1">
                  <c:v>101179.15000000007</c:v>
                </c:pt>
                <c:pt idx="2">
                  <c:v>109592.38000000003</c:v>
                </c:pt>
                <c:pt idx="3">
                  <c:v>112749.25999999997</c:v>
                </c:pt>
                <c:pt idx="4">
                  <c:v>97214.469999999987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D-4C40-AFD0-44C9E53AC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(1).xlsx]Insight pivot!PivotTable6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'Insight pivot'!$I$9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'Insight pivot'!$H$10:$H$14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'Insight pivot'!$I$10:$I$14</c:f>
              <c:numCache>
                <c:formatCode>General</c:formatCode>
                <c:ptCount val="4"/>
                <c:pt idx="0">
                  <c:v>125966.97</c:v>
                </c:pt>
                <c:pt idx="1">
                  <c:v>124549.8</c:v>
                </c:pt>
                <c:pt idx="2">
                  <c:v>144880.68</c:v>
                </c:pt>
                <c:pt idx="3">
                  <c:v>138858.6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B0-404D-A88C-B58291DF8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160831"/>
        <c:axId val="419161247"/>
      </c:lineChart>
      <c:catAx>
        <c:axId val="41916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161247"/>
        <c:crosses val="autoZero"/>
        <c:auto val="1"/>
        <c:lblAlgn val="ctr"/>
        <c:lblOffset val="100"/>
        <c:noMultiLvlLbl val="0"/>
      </c:catAx>
      <c:valAx>
        <c:axId val="41916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16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95250</xdr:rowOff>
    </xdr:from>
    <xdr:to>
      <xdr:col>2</xdr:col>
      <xdr:colOff>1244600</xdr:colOff>
      <xdr:row>13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3323A2-0F74-4780-970C-2A142E2DF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20</xdr:row>
      <xdr:rowOff>38100</xdr:rowOff>
    </xdr:from>
    <xdr:to>
      <xdr:col>2</xdr:col>
      <xdr:colOff>1384300</xdr:colOff>
      <xdr:row>29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B40329-05BC-4715-9AAD-C03EEC4A3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9</xdr:row>
      <xdr:rowOff>25400</xdr:rowOff>
    </xdr:from>
    <xdr:to>
      <xdr:col>5</xdr:col>
      <xdr:colOff>1295400</xdr:colOff>
      <xdr:row>15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F6F5D5-C9F4-4226-8FFE-9A68DDDD2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330200</xdr:colOff>
      <xdr:row>24</xdr:row>
      <xdr:rowOff>133350</xdr:rowOff>
    </xdr:from>
    <xdr:to>
      <xdr:col>7</xdr:col>
      <xdr:colOff>6350</xdr:colOff>
      <xdr:row>34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F1DB89-235F-4C36-AF68-23274A84E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381000</xdr:colOff>
      <xdr:row>15</xdr:row>
      <xdr:rowOff>69850</xdr:rowOff>
    </xdr:from>
    <xdr:to>
      <xdr:col>9</xdr:col>
      <xdr:colOff>260350</xdr:colOff>
      <xdr:row>24</xdr:row>
      <xdr:rowOff>107950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D73766-00E8-4EDB-AE65-54E89B472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2.515572916665" createdVersion="7" refreshedVersion="7" minRefreshableVersion="3" recordCount="500" xr:uid="{49727BEC-624A-4EF6-9A4F-5FBFE9ED0372}">
  <cacheSource type="worksheet">
    <worksheetSource name="Table1" sheet="Insights Pivot"/>
  </cacheSource>
  <cacheFields count="6">
    <cacheField name="Date" numFmtId="164">
      <sharedItems containsSemiMixedTypes="0" containsNonDate="0" containsDate="1" containsString="0" minDate="2022-01-04T00:00:00" maxDate="2023-12-02T00:00:00"/>
    </cacheField>
    <cacheField name="Product" numFmtId="0">
      <sharedItems count="5">
        <s v="Smartphone"/>
        <s v="Tablet"/>
        <s v="Laptop"/>
        <s v="Monitor"/>
        <s v="Keyboard"/>
      </sharedItems>
    </cacheField>
    <cacheField name="Region" numFmtId="0">
      <sharedItems/>
    </cacheField>
    <cacheField name="Sales Amount" numFmtId="0">
      <sharedItems containsSemiMixedTypes="0" containsString="0" containsNumber="1" minValue="104.82" maxValue="1984.92"/>
    </cacheField>
    <cacheField name="Quantity Sold" numFmtId="0">
      <sharedItems containsSemiMixedTypes="0" containsString="0" containsNumber="1" containsInteger="1" minValue="1" maxValue="10"/>
    </cacheField>
    <cacheField name="Salesperson" numFmtId="0">
      <sharedItems count="5">
        <s v="Alice"/>
        <s v="Ethan"/>
        <s v="Bob"/>
        <s v="Charlie"/>
        <s v="Dia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75.855865046295" backgroundQuery="1" createdVersion="7" refreshedVersion="7" minRefreshableVersion="3" recordCount="0" supportSubquery="1" supportAdvancedDrill="1" xr:uid="{F7C6A61C-F116-4B30-85CD-1AECA739EB3C}">
  <cacheSource type="external" connectionId="3"/>
  <cacheFields count="2">
    <cacheField name="[Table1].[Region].[Region]" caption="Region" numFmtId="0" hierarchy="11" level="1">
      <sharedItems count="4">
        <s v="East"/>
        <s v="North"/>
        <s v="South"/>
        <s v="West"/>
      </sharedItems>
    </cacheField>
    <cacheField name="[Measures].[Sum of Sales Amount 2]" caption="Sum of Sales Amount 2" numFmtId="0" hierarchy="25" level="32767"/>
  </cacheFields>
  <cacheHierarchies count="28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5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Month2]" caption="Month2" attribute="1" defaultMemberUniqueName="[Range].[Month2].[All]" allUniqueName="[Range].[Month2].[All]" dimensionUniqueName="[Range]" displayFolder="" count="0" memberValueDatatype="2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 Amount]" caption="Sales Amount" attribute="1" defaultMemberUniqueName="[Table1].[Sales Amount].[All]" allUniqueName="[Table1].[Sales Amount].[All]" dimensionUniqueName="[Table1]" displayFolder="" count="0" memberValueDatatype="5" unbalanced="0"/>
    <cacheHierarchy uniqueName="[Table1].[Quantity Sold]" caption="Quantity Sold" attribute="1" defaultMemberUniqueName="[Table1].[Quantity Sold].[All]" allUniqueName="[Table1].[Quantity Sold].[All]" dimensionUniqueName="[Table1]" displayFolder="" count="0" memberValueDatatype="20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Month2]" caption="Month2" attribute="1" defaultMemberUniqueName="[Table1].[Month2].[All]" allUniqueName="[Table1].[Month2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Quantity Sold 2]" caption="Sum of Quantity Sold 2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 Sold]" caption="Count of Quantity Sold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Amount 2]" caption="Sum of Sales Amount 2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ales Amount]" caption="Count of Sales Amoun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Quantity Sold 2]" caption="Count of Quantity Sold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75.855866666665" backgroundQuery="1" createdVersion="7" refreshedVersion="7" minRefreshableVersion="3" recordCount="0" supportSubquery="1" supportAdvancedDrill="1" xr:uid="{44F4739D-E99B-4E7D-8FD4-E51C323636F9}">
  <cacheSource type="external" connectionId="3"/>
  <cacheFields count="6">
    <cacheField name="[Table1].[Region].[Region]" caption="Region" numFmtId="0" hierarchy="11" level="1">
      <sharedItems containsNonDate="0" count="4">
        <s v="East"/>
        <s v="North"/>
        <s v="South"/>
        <s v="West"/>
      </sharedItems>
    </cacheField>
    <cacheField name="[Table1].[Salesperson].[Salesperson]" caption="Salesperson" numFmtId="0" hierarchy="14" level="1">
      <sharedItems containsNonDate="0" count="4">
        <s v="Alice"/>
        <s v="Charlie"/>
        <s v="Diana"/>
        <s v="Ethan"/>
      </sharedItems>
    </cacheField>
    <cacheField name="[Table1].[Year].[Year]" caption="Year" numFmtId="0" hierarchy="17" level="1">
      <sharedItems containsSemiMixedTypes="0" containsString="0" containsNumber="1" containsInteger="1" minValue="2022" maxValue="2023" count="2"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Table1].[Year].&amp;[2022]"/>
            <x15:cachedUniqueName index="1" name="[Table1].[Year].&amp;[2023]"/>
          </x15:cachedUniqueNames>
        </ext>
      </extLst>
    </cacheField>
    <cacheField name="[Table1].[Product].[Product]" caption="Product" numFmtId="0" hierarchy="10" level="1">
      <sharedItems containsNonDate="0" count="5">
        <s v="Keyboard"/>
        <s v="Laptop"/>
        <s v="Monitor"/>
        <s v="Smartphone"/>
        <s v="Tablet"/>
      </sharedItems>
    </cacheField>
    <cacheField name="[Measures].[Count of Quantity Sold]" caption="Count of Quantity Sold" numFmtId="0" hierarchy="24" level="32767"/>
    <cacheField name="[Measures].[Sum of Sales Amount 2]" caption="Sum of Sales Amount 2" numFmtId="0" hierarchy="25" level="32767"/>
  </cacheFields>
  <cacheHierarchies count="28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5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Month2]" caption="Month2" attribute="1" defaultMemberUniqueName="[Range].[Month2].[All]" allUniqueName="[Range].[Month2].[All]" dimensionUniqueName="[Range]" displayFolder="" count="0" memberValueDatatype="2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 Amount]" caption="Sales Amount" attribute="1" defaultMemberUniqueName="[Table1].[Sales Amount].[All]" allUniqueName="[Table1].[Sales Amount].[All]" dimensionUniqueName="[Table1]" displayFolder="" count="0" memberValueDatatype="5" unbalanced="0"/>
    <cacheHierarchy uniqueName="[Table1].[Quantity Sold]" caption="Quantity Sold" attribute="1" defaultMemberUniqueName="[Table1].[Quantity Sold].[All]" allUniqueName="[Table1].[Quantity Sold].[All]" dimensionUniqueName="[Table1]" displayFolder="" count="0" memberValueDatatype="20" unbalanced="0"/>
    <cacheHierarchy uniqueName="[Table1].[Salesperson]" caption="Salesperson" attribute="1" defaultMemberUniqueName="[Table1].[Salesperson].[All]" allUniqueName="[Table1].[Salespers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Month2]" caption="Month2" attribute="1" defaultMemberUniqueName="[Table1].[Month2].[All]" allUniqueName="[Table1].[Month2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2" memberValueDatatype="2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Quantity Sold 2]" caption="Sum of Quantity Sold 2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 Sold]" caption="Count of Quantity Sold" measure="1" displayFolder="" measureGroup="Tabl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Amount 2]" caption="Sum of Sales Amount 2" measure="1" displayFolder="" measureGroup="Table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ales Amount]" caption="Count of Sales Amoun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Quantity Sold 2]" caption="Count of Quantity Sold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75.855869212966" backgroundQuery="1" createdVersion="7" refreshedVersion="7" minRefreshableVersion="3" recordCount="0" supportSubquery="1" supportAdvancedDrill="1" xr:uid="{C56FD2BE-1D6A-40D1-ADBE-02BEC719E0EC}">
  <cacheSource type="external" connectionId="3"/>
  <cacheFields count="4">
    <cacheField name="[Range].[Year].[Year]" caption="Year" numFmtId="0" hierarchy="8" level="1">
      <sharedItems containsSemiMixedTypes="0" containsString="0" containsNumber="1" containsInteger="1" minValue="2022" maxValue="2023" count="2"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22]"/>
            <x15:cachedUniqueName index="1" name="[Range].[Year].&amp;[2023]"/>
          </x15:cachedUniqueNames>
        </ext>
      </extLst>
    </cacheField>
    <cacheField name="[Range].[month].[month]" caption="month" numFmtId="0" hierarchy="6" level="1">
      <sharedItems containsNonDate="0"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um of Sales Amount]" caption="Sum of Sales Amount" numFmtId="0" hierarchy="22" level="32767"/>
    <cacheField name="[Measures].[Count of Quantity Sold 2]" caption="Count of Quantity Sold 2" numFmtId="0" hierarchy="27" level="32767"/>
  </cacheFields>
  <cacheHierarchies count="28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5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1"/>
      </fieldsUsage>
    </cacheHierarchy>
    <cacheHierarchy uniqueName="[Range].[Month2]" caption="Month2" attribute="1" defaultMemberUniqueName="[Range].[Month2].[All]" allUniqueName="[Range].[Month2].[All]" dimensionUniqueName="[Range]" displayFolder="" count="0" memberValueDatatype="20" unbalanced="0"/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0"/>
      </fieldsUsage>
    </cacheHierarchy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ales Amount]" caption="Sales Amount" attribute="1" defaultMemberUniqueName="[Table1].[Sales Amount].[All]" allUniqueName="[Table1].[Sales Amount].[All]" dimensionUniqueName="[Table1]" displayFolder="" count="0" memberValueDatatype="5" unbalanced="0"/>
    <cacheHierarchy uniqueName="[Table1].[Quantity Sold]" caption="Quantity Sold" attribute="1" defaultMemberUniqueName="[Table1].[Quantity Sold].[All]" allUniqueName="[Table1].[Quantity Sold].[All]" dimensionUniqueName="[Table1]" displayFolder="" count="0" memberValueDatatype="20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Month2]" caption="Month2" attribute="1" defaultMemberUniqueName="[Table1].[Month2].[All]" allUniqueName="[Table1].[Month2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 Amount]" caption="Sum of Sales Am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Quantity Sold 2]" caption="Sum of Quantity Sold 2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 Sold]" caption="Count of Quantity Sold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Amount 2]" caption="Sum of Sales Amount 2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ales Amount]" caption="Count of Sales Amoun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Quantity Sold 2]" caption="Count of Quantity Sold 2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75.855871296299" backgroundQuery="1" createdVersion="7" refreshedVersion="7" minRefreshableVersion="3" recordCount="0" supportSubquery="1" supportAdvancedDrill="1" xr:uid="{686FB238-92A4-4582-AED2-DC0DDCC34771}">
  <cacheSource type="external" connectionId="3"/>
  <cacheFields count="3">
    <cacheField name="[Table1].[Product].[Product]" caption="Product" numFmtId="0" hierarchy="10" level="1">
      <sharedItems count="5">
        <s v="Keyboard"/>
        <s v="Laptop"/>
        <s v="Monitor"/>
        <s v="Smartphone"/>
        <s v="Tablet"/>
      </sharedItems>
    </cacheField>
    <cacheField name="[Table1].[month].[month]" caption="month" numFmtId="0" hierarchy="15" level="1">
      <sharedItems containsNonDate="0"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Count of Quantity Sold]" caption="Count of Quantity Sold" numFmtId="0" hierarchy="24" level="32767"/>
  </cacheFields>
  <cacheHierarchies count="28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5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Month2]" caption="Month2" attribute="1" defaultMemberUniqueName="[Range].[Month2].[All]" allUniqueName="[Range].[Month2].[All]" dimensionUniqueName="[Range]" displayFolder="" count="0" memberValueDatatype="2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ales Amount]" caption="Sales Amount" attribute="1" defaultMemberUniqueName="[Table1].[Sales Amount].[All]" allUniqueName="[Table1].[Sales Amount].[All]" dimensionUniqueName="[Table1]" displayFolder="" count="0" memberValueDatatype="5" unbalanced="0"/>
    <cacheHierarchy uniqueName="[Table1].[Quantity Sold]" caption="Quantity Sold" attribute="1" defaultMemberUniqueName="[Table1].[Quantity Sold].[All]" allUniqueName="[Table1].[Quantity Sold].[All]" dimensionUniqueName="[Table1]" displayFolder="" count="0" memberValueDatatype="20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month]" caption="month" attribute="1" defaultMemberUniqueName="[Table1].[month].[All]" allUniqueName="[Table1].[month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Month2]" caption="Month2" attribute="1" defaultMemberUniqueName="[Table1].[Month2].[All]" allUniqueName="[Table1].[Month2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Quantity Sold 2]" caption="Sum of Quantity Sold 2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 Sold]" caption="Count of Quantity Sold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Amount 2]" caption="Sum of Sales Amount 2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ales Amount]" caption="Count of Sales Amoun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Quantity Sold 2]" caption="Count of Quantity Sold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d v="2023-11-19T00:00:00"/>
    <x v="0"/>
    <s v="North"/>
    <n v="848.93"/>
    <n v="4"/>
    <x v="0"/>
  </r>
  <r>
    <d v="2023-08-18T00:00:00"/>
    <x v="1"/>
    <s v="East"/>
    <n v="1549.1"/>
    <n v="8"/>
    <x v="1"/>
  </r>
  <r>
    <d v="2022-12-10T00:00:00"/>
    <x v="0"/>
    <s v="West"/>
    <n v="1947.92"/>
    <n v="10"/>
    <x v="2"/>
  </r>
  <r>
    <d v="2023-10-06T00:00:00"/>
    <x v="1"/>
    <s v="North"/>
    <n v="1710.67"/>
    <n v="9"/>
    <x v="1"/>
  </r>
  <r>
    <d v="2022-12-21T00:00:00"/>
    <x v="0"/>
    <s v="East"/>
    <n v="447.01"/>
    <n v="3"/>
    <x v="3"/>
  </r>
  <r>
    <d v="2022-02-04T00:00:00"/>
    <x v="2"/>
    <s v="North"/>
    <n v="1653.98"/>
    <n v="9"/>
    <x v="1"/>
  </r>
  <r>
    <d v="2022-09-29T00:00:00"/>
    <x v="2"/>
    <s v="North"/>
    <n v="1460.93"/>
    <n v="7"/>
    <x v="3"/>
  </r>
  <r>
    <d v="2022-04-05T00:00:00"/>
    <x v="1"/>
    <s v="West"/>
    <n v="341.93"/>
    <n v="10"/>
    <x v="2"/>
  </r>
  <r>
    <d v="2023-09-12T00:00:00"/>
    <x v="3"/>
    <s v="North"/>
    <n v="176.55"/>
    <n v="7"/>
    <x v="3"/>
  </r>
  <r>
    <d v="2023-03-27T00:00:00"/>
    <x v="0"/>
    <s v="North"/>
    <n v="209.12"/>
    <n v="4"/>
    <x v="4"/>
  </r>
  <r>
    <d v="2022-04-13T00:00:00"/>
    <x v="2"/>
    <s v="North"/>
    <n v="1623.9"/>
    <n v="10"/>
    <x v="2"/>
  </r>
  <r>
    <d v="2023-08-25T00:00:00"/>
    <x v="4"/>
    <s v="South"/>
    <n v="748.01"/>
    <n v="1"/>
    <x v="4"/>
  </r>
  <r>
    <d v="2023-06-22T00:00:00"/>
    <x v="1"/>
    <s v="East"/>
    <n v="1570.92"/>
    <n v="10"/>
    <x v="1"/>
  </r>
  <r>
    <d v="2022-04-17T00:00:00"/>
    <x v="4"/>
    <s v="East"/>
    <n v="1318.15"/>
    <n v="8"/>
    <x v="4"/>
  </r>
  <r>
    <d v="2023-10-22T00:00:00"/>
    <x v="4"/>
    <s v="West"/>
    <n v="1814"/>
    <n v="7"/>
    <x v="3"/>
  </r>
  <r>
    <d v="2022-12-14T00:00:00"/>
    <x v="3"/>
    <s v="West"/>
    <n v="1693.01"/>
    <n v="7"/>
    <x v="0"/>
  </r>
  <r>
    <d v="2022-11-08T00:00:00"/>
    <x v="0"/>
    <s v="South"/>
    <n v="669.66"/>
    <n v="1"/>
    <x v="0"/>
  </r>
  <r>
    <d v="2023-05-19T00:00:00"/>
    <x v="3"/>
    <s v="West"/>
    <n v="940.71"/>
    <n v="6"/>
    <x v="0"/>
  </r>
  <r>
    <d v="2023-09-27T00:00:00"/>
    <x v="1"/>
    <s v="North"/>
    <n v="674.75"/>
    <n v="4"/>
    <x v="4"/>
  </r>
  <r>
    <d v="2023-09-14T00:00:00"/>
    <x v="2"/>
    <s v="North"/>
    <n v="856.83"/>
    <n v="1"/>
    <x v="4"/>
  </r>
  <r>
    <d v="2023-07-10T00:00:00"/>
    <x v="4"/>
    <s v="South"/>
    <n v="695.91"/>
    <n v="7"/>
    <x v="4"/>
  </r>
  <r>
    <d v="2023-11-29T00:00:00"/>
    <x v="1"/>
    <s v="North"/>
    <n v="406.53"/>
    <n v="10"/>
    <x v="2"/>
  </r>
  <r>
    <d v="2023-06-30T00:00:00"/>
    <x v="1"/>
    <s v="North"/>
    <n v="1450.46"/>
    <n v="6"/>
    <x v="4"/>
  </r>
  <r>
    <d v="2022-03-24T00:00:00"/>
    <x v="3"/>
    <s v="South"/>
    <n v="1210.31"/>
    <n v="4"/>
    <x v="4"/>
  </r>
  <r>
    <d v="2023-11-04T00:00:00"/>
    <x v="2"/>
    <s v="East"/>
    <n v="1868.61"/>
    <n v="4"/>
    <x v="4"/>
  </r>
  <r>
    <d v="2023-09-12T00:00:00"/>
    <x v="2"/>
    <s v="South"/>
    <n v="1324.12"/>
    <n v="1"/>
    <x v="4"/>
  </r>
  <r>
    <d v="2022-12-25T00:00:00"/>
    <x v="3"/>
    <s v="East"/>
    <n v="386.01"/>
    <n v="5"/>
    <x v="4"/>
  </r>
  <r>
    <d v="2023-09-01T00:00:00"/>
    <x v="2"/>
    <s v="West"/>
    <n v="1609.99"/>
    <n v="3"/>
    <x v="4"/>
  </r>
  <r>
    <d v="2023-10-02T00:00:00"/>
    <x v="3"/>
    <s v="East"/>
    <n v="359.48"/>
    <n v="5"/>
    <x v="3"/>
  </r>
  <r>
    <d v="2022-11-21T00:00:00"/>
    <x v="1"/>
    <s v="North"/>
    <n v="1984.54"/>
    <n v="10"/>
    <x v="2"/>
  </r>
  <r>
    <d v="2022-04-04T00:00:00"/>
    <x v="2"/>
    <s v="East"/>
    <n v="1851.36"/>
    <n v="6"/>
    <x v="0"/>
  </r>
  <r>
    <d v="2023-09-08T00:00:00"/>
    <x v="2"/>
    <s v="East"/>
    <n v="972.49"/>
    <n v="9"/>
    <x v="0"/>
  </r>
  <r>
    <d v="2023-01-07T00:00:00"/>
    <x v="1"/>
    <s v="South"/>
    <n v="665.95"/>
    <n v="3"/>
    <x v="0"/>
  </r>
  <r>
    <d v="2022-08-21T00:00:00"/>
    <x v="0"/>
    <s v="East"/>
    <n v="301.39"/>
    <n v="6"/>
    <x v="3"/>
  </r>
  <r>
    <d v="2023-06-01T00:00:00"/>
    <x v="4"/>
    <s v="East"/>
    <n v="601.07000000000005"/>
    <n v="1"/>
    <x v="0"/>
  </r>
  <r>
    <d v="2022-06-12T00:00:00"/>
    <x v="0"/>
    <s v="South"/>
    <n v="148.29"/>
    <n v="5"/>
    <x v="3"/>
  </r>
  <r>
    <d v="2022-07-07T00:00:00"/>
    <x v="3"/>
    <s v="South"/>
    <n v="793.58"/>
    <n v="4"/>
    <x v="3"/>
  </r>
  <r>
    <d v="2023-10-20T00:00:00"/>
    <x v="2"/>
    <s v="West"/>
    <n v="1523.21"/>
    <n v="1"/>
    <x v="4"/>
  </r>
  <r>
    <d v="2023-03-19T00:00:00"/>
    <x v="4"/>
    <s v="South"/>
    <n v="1878.45"/>
    <n v="7"/>
    <x v="1"/>
  </r>
  <r>
    <d v="2022-08-17T00:00:00"/>
    <x v="1"/>
    <s v="West"/>
    <n v="319.23"/>
    <n v="5"/>
    <x v="0"/>
  </r>
  <r>
    <d v="2022-05-27T00:00:00"/>
    <x v="3"/>
    <s v="West"/>
    <n v="1793.96"/>
    <n v="10"/>
    <x v="2"/>
  </r>
  <r>
    <d v="2022-02-13T00:00:00"/>
    <x v="2"/>
    <s v="West"/>
    <n v="1645.6"/>
    <n v="9"/>
    <x v="1"/>
  </r>
  <r>
    <d v="2023-09-24T00:00:00"/>
    <x v="0"/>
    <s v="South"/>
    <n v="1353.88"/>
    <n v="7"/>
    <x v="1"/>
  </r>
  <r>
    <d v="2022-06-16T00:00:00"/>
    <x v="0"/>
    <s v="West"/>
    <n v="305.58999999999997"/>
    <n v="2"/>
    <x v="3"/>
  </r>
  <r>
    <d v="2022-04-23T00:00:00"/>
    <x v="0"/>
    <s v="West"/>
    <n v="398.89"/>
    <n v="10"/>
    <x v="2"/>
  </r>
  <r>
    <d v="2023-06-03T00:00:00"/>
    <x v="1"/>
    <s v="North"/>
    <n v="1738.24"/>
    <n v="2"/>
    <x v="4"/>
  </r>
  <r>
    <d v="2022-01-27T00:00:00"/>
    <x v="0"/>
    <s v="South"/>
    <n v="473.17"/>
    <n v="10"/>
    <x v="0"/>
  </r>
  <r>
    <d v="2022-09-06T00:00:00"/>
    <x v="0"/>
    <s v="South"/>
    <n v="844.44"/>
    <n v="10"/>
    <x v="3"/>
  </r>
  <r>
    <d v="2022-01-06T00:00:00"/>
    <x v="0"/>
    <s v="East"/>
    <n v="296.82"/>
    <n v="3"/>
    <x v="1"/>
  </r>
  <r>
    <d v="2022-04-20T00:00:00"/>
    <x v="0"/>
    <s v="South"/>
    <n v="1547.46"/>
    <n v="8"/>
    <x v="4"/>
  </r>
  <r>
    <d v="2023-02-22T00:00:00"/>
    <x v="0"/>
    <s v="South"/>
    <n v="722.69"/>
    <n v="2"/>
    <x v="3"/>
  </r>
  <r>
    <d v="2023-09-24T00:00:00"/>
    <x v="1"/>
    <s v="East"/>
    <n v="966.82"/>
    <n v="6"/>
    <x v="3"/>
  </r>
  <r>
    <d v="2023-02-04T00:00:00"/>
    <x v="3"/>
    <s v="East"/>
    <n v="1743.66"/>
    <n v="3"/>
    <x v="0"/>
  </r>
  <r>
    <d v="2023-03-17T00:00:00"/>
    <x v="2"/>
    <s v="South"/>
    <n v="1322.74"/>
    <n v="6"/>
    <x v="4"/>
  </r>
  <r>
    <d v="2022-05-15T00:00:00"/>
    <x v="0"/>
    <s v="West"/>
    <n v="1956.33"/>
    <n v="9"/>
    <x v="3"/>
  </r>
  <r>
    <d v="2022-04-15T00:00:00"/>
    <x v="1"/>
    <s v="South"/>
    <n v="1617.01"/>
    <n v="6"/>
    <x v="1"/>
  </r>
  <r>
    <d v="2023-07-31T00:00:00"/>
    <x v="2"/>
    <s v="South"/>
    <n v="1212.3900000000001"/>
    <n v="1"/>
    <x v="4"/>
  </r>
  <r>
    <d v="2022-05-27T00:00:00"/>
    <x v="2"/>
    <s v="South"/>
    <n v="1159.05"/>
    <n v="8"/>
    <x v="4"/>
  </r>
  <r>
    <d v="2022-09-17T00:00:00"/>
    <x v="1"/>
    <s v="South"/>
    <n v="960.03"/>
    <n v="9"/>
    <x v="3"/>
  </r>
  <r>
    <d v="2023-08-22T00:00:00"/>
    <x v="1"/>
    <s v="West"/>
    <n v="1549.69"/>
    <n v="5"/>
    <x v="1"/>
  </r>
  <r>
    <d v="2023-01-10T00:00:00"/>
    <x v="1"/>
    <s v="East"/>
    <n v="1556.99"/>
    <n v="8"/>
    <x v="4"/>
  </r>
  <r>
    <d v="2022-02-18T00:00:00"/>
    <x v="1"/>
    <s v="North"/>
    <n v="842.33"/>
    <n v="10"/>
    <x v="2"/>
  </r>
  <r>
    <d v="2022-01-10T00:00:00"/>
    <x v="3"/>
    <s v="East"/>
    <n v="755.59"/>
    <n v="10"/>
    <x v="2"/>
  </r>
  <r>
    <d v="2023-06-03T00:00:00"/>
    <x v="2"/>
    <s v="West"/>
    <n v="1875.04"/>
    <n v="5"/>
    <x v="3"/>
  </r>
  <r>
    <d v="2023-08-30T00:00:00"/>
    <x v="4"/>
    <s v="East"/>
    <n v="1019.56"/>
    <n v="3"/>
    <x v="1"/>
  </r>
  <r>
    <d v="2023-11-17T00:00:00"/>
    <x v="4"/>
    <s v="South"/>
    <n v="1606.52"/>
    <n v="3"/>
    <x v="1"/>
  </r>
  <r>
    <d v="2022-03-07T00:00:00"/>
    <x v="4"/>
    <s v="East"/>
    <n v="971.42"/>
    <n v="9"/>
    <x v="0"/>
  </r>
  <r>
    <d v="2022-09-06T00:00:00"/>
    <x v="2"/>
    <s v="West"/>
    <n v="569.16999999999996"/>
    <n v="4"/>
    <x v="1"/>
  </r>
  <r>
    <d v="2023-07-03T00:00:00"/>
    <x v="1"/>
    <s v="South"/>
    <n v="720.71"/>
    <n v="3"/>
    <x v="1"/>
  </r>
  <r>
    <d v="2022-08-31T00:00:00"/>
    <x v="1"/>
    <s v="East"/>
    <n v="1441.47"/>
    <n v="7"/>
    <x v="1"/>
  </r>
  <r>
    <d v="2023-08-24T00:00:00"/>
    <x v="0"/>
    <s v="West"/>
    <n v="586.49"/>
    <n v="5"/>
    <x v="4"/>
  </r>
  <r>
    <d v="2022-07-20T00:00:00"/>
    <x v="4"/>
    <s v="North"/>
    <n v="874.09"/>
    <n v="4"/>
    <x v="1"/>
  </r>
  <r>
    <d v="2022-10-23T00:00:00"/>
    <x v="3"/>
    <s v="South"/>
    <n v="524.08000000000004"/>
    <n v="1"/>
    <x v="3"/>
  </r>
  <r>
    <d v="2022-06-22T00:00:00"/>
    <x v="4"/>
    <s v="East"/>
    <n v="1087.78"/>
    <n v="8"/>
    <x v="1"/>
  </r>
  <r>
    <d v="2022-02-25T00:00:00"/>
    <x v="0"/>
    <s v="North"/>
    <n v="1136.05"/>
    <n v="5"/>
    <x v="1"/>
  </r>
  <r>
    <d v="2023-10-26T00:00:00"/>
    <x v="1"/>
    <s v="East"/>
    <n v="1848.54"/>
    <n v="9"/>
    <x v="4"/>
  </r>
  <r>
    <d v="2022-08-28T00:00:00"/>
    <x v="2"/>
    <s v="West"/>
    <n v="1361.38"/>
    <n v="10"/>
    <x v="2"/>
  </r>
  <r>
    <d v="2023-06-23T00:00:00"/>
    <x v="2"/>
    <s v="East"/>
    <n v="1841.65"/>
    <n v="6"/>
    <x v="1"/>
  </r>
  <r>
    <d v="2022-07-16T00:00:00"/>
    <x v="4"/>
    <s v="West"/>
    <n v="1650.38"/>
    <n v="9"/>
    <x v="3"/>
  </r>
  <r>
    <d v="2022-04-09T00:00:00"/>
    <x v="1"/>
    <s v="West"/>
    <n v="570.01"/>
    <n v="9"/>
    <x v="4"/>
  </r>
  <r>
    <d v="2022-09-05T00:00:00"/>
    <x v="0"/>
    <s v="East"/>
    <n v="551.62"/>
    <n v="1"/>
    <x v="3"/>
  </r>
  <r>
    <d v="2022-06-23T00:00:00"/>
    <x v="0"/>
    <s v="West"/>
    <n v="495.05"/>
    <n v="6"/>
    <x v="3"/>
  </r>
  <r>
    <d v="2022-08-29T00:00:00"/>
    <x v="1"/>
    <s v="West"/>
    <n v="1193.5"/>
    <n v="1"/>
    <x v="4"/>
  </r>
  <r>
    <d v="2023-10-04T00:00:00"/>
    <x v="0"/>
    <s v="South"/>
    <n v="508.4"/>
    <n v="4"/>
    <x v="3"/>
  </r>
  <r>
    <d v="2022-09-21T00:00:00"/>
    <x v="1"/>
    <s v="West"/>
    <n v="1514.15"/>
    <n v="4"/>
    <x v="3"/>
  </r>
  <r>
    <d v="2022-02-10T00:00:00"/>
    <x v="4"/>
    <s v="North"/>
    <n v="1833.21"/>
    <n v="1"/>
    <x v="0"/>
  </r>
  <r>
    <d v="2023-01-06T00:00:00"/>
    <x v="2"/>
    <s v="West"/>
    <n v="178.4"/>
    <n v="10"/>
    <x v="2"/>
  </r>
  <r>
    <d v="2023-07-01T00:00:00"/>
    <x v="2"/>
    <s v="East"/>
    <n v="519.21"/>
    <n v="8"/>
    <x v="0"/>
  </r>
  <r>
    <d v="2023-12-01T00:00:00"/>
    <x v="2"/>
    <s v="West"/>
    <n v="1261.6400000000001"/>
    <n v="8"/>
    <x v="3"/>
  </r>
  <r>
    <d v="2022-03-11T00:00:00"/>
    <x v="3"/>
    <s v="East"/>
    <n v="778.66"/>
    <n v="7"/>
    <x v="0"/>
  </r>
  <r>
    <d v="2023-07-23T00:00:00"/>
    <x v="1"/>
    <s v="South"/>
    <n v="1756.39"/>
    <n v="10"/>
    <x v="0"/>
  </r>
  <r>
    <d v="2023-08-23T00:00:00"/>
    <x v="0"/>
    <s v="East"/>
    <n v="1166.6500000000001"/>
    <n v="6"/>
    <x v="4"/>
  </r>
  <r>
    <d v="2022-10-16T00:00:00"/>
    <x v="3"/>
    <s v="East"/>
    <n v="1017.8"/>
    <n v="4"/>
    <x v="1"/>
  </r>
  <r>
    <d v="2022-02-06T00:00:00"/>
    <x v="0"/>
    <s v="South"/>
    <n v="259"/>
    <n v="10"/>
    <x v="2"/>
  </r>
  <r>
    <d v="2023-02-19T00:00:00"/>
    <x v="3"/>
    <s v="North"/>
    <n v="629.5"/>
    <n v="10"/>
    <x v="2"/>
  </r>
  <r>
    <d v="2022-11-11T00:00:00"/>
    <x v="1"/>
    <s v="East"/>
    <n v="1417.1"/>
    <n v="10"/>
    <x v="2"/>
  </r>
  <r>
    <d v="2023-08-05T00:00:00"/>
    <x v="1"/>
    <s v="West"/>
    <n v="1437.8"/>
    <n v="4"/>
    <x v="3"/>
  </r>
  <r>
    <d v="2022-12-05T00:00:00"/>
    <x v="2"/>
    <s v="South"/>
    <n v="1091.1500000000001"/>
    <n v="3"/>
    <x v="4"/>
  </r>
  <r>
    <d v="2022-01-11T00:00:00"/>
    <x v="2"/>
    <s v="West"/>
    <n v="1623.67"/>
    <n v="9"/>
    <x v="0"/>
  </r>
  <r>
    <d v="2022-03-30T00:00:00"/>
    <x v="2"/>
    <s v="North"/>
    <n v="943.79"/>
    <n v="3"/>
    <x v="0"/>
  </r>
  <r>
    <d v="2023-10-21T00:00:00"/>
    <x v="4"/>
    <s v="North"/>
    <n v="984.72"/>
    <n v="5"/>
    <x v="1"/>
  </r>
  <r>
    <d v="2023-07-02T00:00:00"/>
    <x v="4"/>
    <s v="South"/>
    <n v="291.88"/>
    <n v="8"/>
    <x v="4"/>
  </r>
  <r>
    <d v="2022-08-24T00:00:00"/>
    <x v="3"/>
    <s v="East"/>
    <n v="1571.03"/>
    <n v="1"/>
    <x v="0"/>
  </r>
  <r>
    <d v="2023-09-10T00:00:00"/>
    <x v="0"/>
    <s v="South"/>
    <n v="561.21"/>
    <n v="6"/>
    <x v="0"/>
  </r>
  <r>
    <d v="2022-04-15T00:00:00"/>
    <x v="4"/>
    <s v="West"/>
    <n v="1731.56"/>
    <n v="10"/>
    <x v="2"/>
  </r>
  <r>
    <d v="2023-11-01T00:00:00"/>
    <x v="3"/>
    <s v="West"/>
    <n v="1429.7"/>
    <n v="6"/>
    <x v="1"/>
  </r>
  <r>
    <d v="2022-04-22T00:00:00"/>
    <x v="2"/>
    <s v="South"/>
    <n v="815.1"/>
    <n v="9"/>
    <x v="2"/>
  </r>
  <r>
    <d v="2023-06-04T00:00:00"/>
    <x v="0"/>
    <s v="North"/>
    <n v="1201.96"/>
    <n v="9"/>
    <x v="2"/>
  </r>
  <r>
    <d v="2023-08-24T00:00:00"/>
    <x v="1"/>
    <s v="East"/>
    <n v="1901.32"/>
    <n v="7"/>
    <x v="3"/>
  </r>
  <r>
    <d v="2023-10-24T00:00:00"/>
    <x v="0"/>
    <s v="South"/>
    <n v="1751.48"/>
    <n v="5"/>
    <x v="4"/>
  </r>
  <r>
    <d v="2022-03-15T00:00:00"/>
    <x v="2"/>
    <s v="South"/>
    <n v="1386.75"/>
    <n v="8"/>
    <x v="3"/>
  </r>
  <r>
    <d v="2022-07-04T00:00:00"/>
    <x v="4"/>
    <s v="East"/>
    <n v="1023.38"/>
    <n v="9"/>
    <x v="2"/>
  </r>
  <r>
    <d v="2023-05-04T00:00:00"/>
    <x v="3"/>
    <s v="West"/>
    <n v="1480.52"/>
    <n v="8"/>
    <x v="0"/>
  </r>
  <r>
    <d v="2023-07-01T00:00:00"/>
    <x v="2"/>
    <s v="North"/>
    <n v="1551.31"/>
    <n v="9"/>
    <x v="3"/>
  </r>
  <r>
    <d v="2022-08-13T00:00:00"/>
    <x v="4"/>
    <s v="West"/>
    <n v="1497.47"/>
    <n v="9"/>
    <x v="2"/>
  </r>
  <r>
    <d v="2023-03-24T00:00:00"/>
    <x v="3"/>
    <s v="North"/>
    <n v="1276.92"/>
    <n v="8"/>
    <x v="0"/>
  </r>
  <r>
    <d v="2023-04-16T00:00:00"/>
    <x v="3"/>
    <s v="South"/>
    <n v="1320.39"/>
    <n v="1"/>
    <x v="3"/>
  </r>
  <r>
    <d v="2022-08-29T00:00:00"/>
    <x v="1"/>
    <s v="East"/>
    <n v="220.07"/>
    <n v="8"/>
    <x v="3"/>
  </r>
  <r>
    <d v="2023-08-11T00:00:00"/>
    <x v="0"/>
    <s v="North"/>
    <n v="350.68"/>
    <n v="7"/>
    <x v="0"/>
  </r>
  <r>
    <d v="2023-08-30T00:00:00"/>
    <x v="3"/>
    <s v="South"/>
    <n v="463.54"/>
    <n v="10"/>
    <x v="0"/>
  </r>
  <r>
    <d v="2023-07-12T00:00:00"/>
    <x v="3"/>
    <s v="North"/>
    <n v="1653.87"/>
    <n v="8"/>
    <x v="4"/>
  </r>
  <r>
    <d v="2023-06-24T00:00:00"/>
    <x v="1"/>
    <s v="North"/>
    <n v="861.08"/>
    <n v="9"/>
    <x v="2"/>
  </r>
  <r>
    <d v="2023-06-20T00:00:00"/>
    <x v="3"/>
    <s v="South"/>
    <n v="1920.09"/>
    <n v="7"/>
    <x v="1"/>
  </r>
  <r>
    <d v="2022-10-18T00:00:00"/>
    <x v="0"/>
    <s v="East"/>
    <n v="632.14"/>
    <n v="8"/>
    <x v="0"/>
  </r>
  <r>
    <d v="2023-06-22T00:00:00"/>
    <x v="3"/>
    <s v="South"/>
    <n v="903.07"/>
    <n v="7"/>
    <x v="4"/>
  </r>
  <r>
    <d v="2022-03-14T00:00:00"/>
    <x v="3"/>
    <s v="West"/>
    <n v="1021.16"/>
    <n v="9"/>
    <x v="2"/>
  </r>
  <r>
    <d v="2023-06-07T00:00:00"/>
    <x v="0"/>
    <s v="East"/>
    <n v="597.83000000000004"/>
    <n v="3"/>
    <x v="3"/>
  </r>
  <r>
    <d v="2022-02-27T00:00:00"/>
    <x v="4"/>
    <s v="West"/>
    <n v="1756.15"/>
    <n v="8"/>
    <x v="0"/>
  </r>
  <r>
    <d v="2022-02-02T00:00:00"/>
    <x v="0"/>
    <s v="West"/>
    <n v="1212.3699999999999"/>
    <n v="4"/>
    <x v="4"/>
  </r>
  <r>
    <d v="2022-08-16T00:00:00"/>
    <x v="2"/>
    <s v="North"/>
    <n v="496.69"/>
    <n v="5"/>
    <x v="0"/>
  </r>
  <r>
    <d v="2022-01-27T00:00:00"/>
    <x v="0"/>
    <s v="North"/>
    <n v="856.52"/>
    <n v="8"/>
    <x v="0"/>
  </r>
  <r>
    <d v="2022-08-22T00:00:00"/>
    <x v="1"/>
    <s v="North"/>
    <n v="214.05"/>
    <n v="6"/>
    <x v="3"/>
  </r>
  <r>
    <d v="2023-03-01T00:00:00"/>
    <x v="3"/>
    <s v="South"/>
    <n v="450.21"/>
    <n v="6"/>
    <x v="3"/>
  </r>
  <r>
    <d v="2023-09-10T00:00:00"/>
    <x v="3"/>
    <s v="North"/>
    <n v="692.03"/>
    <n v="5"/>
    <x v="0"/>
  </r>
  <r>
    <d v="2022-06-25T00:00:00"/>
    <x v="1"/>
    <s v="East"/>
    <n v="1816.57"/>
    <n v="9"/>
    <x v="2"/>
  </r>
  <r>
    <d v="2022-08-02T00:00:00"/>
    <x v="3"/>
    <s v="South"/>
    <n v="1616.73"/>
    <n v="7"/>
    <x v="0"/>
  </r>
  <r>
    <d v="2023-01-16T00:00:00"/>
    <x v="4"/>
    <s v="North"/>
    <n v="998.9"/>
    <n v="8"/>
    <x v="3"/>
  </r>
  <r>
    <d v="2022-01-21T00:00:00"/>
    <x v="1"/>
    <s v="South"/>
    <n v="1318.23"/>
    <n v="7"/>
    <x v="4"/>
  </r>
  <r>
    <d v="2022-09-25T00:00:00"/>
    <x v="4"/>
    <s v="East"/>
    <n v="1791.64"/>
    <n v="4"/>
    <x v="0"/>
  </r>
  <r>
    <d v="2023-10-22T00:00:00"/>
    <x v="4"/>
    <s v="West"/>
    <n v="1916.68"/>
    <n v="3"/>
    <x v="0"/>
  </r>
  <r>
    <d v="2023-02-09T00:00:00"/>
    <x v="0"/>
    <s v="North"/>
    <n v="781.44"/>
    <n v="4"/>
    <x v="3"/>
  </r>
  <r>
    <d v="2022-02-11T00:00:00"/>
    <x v="3"/>
    <s v="East"/>
    <n v="1150.71"/>
    <n v="9"/>
    <x v="2"/>
  </r>
  <r>
    <d v="2022-02-22T00:00:00"/>
    <x v="0"/>
    <s v="South"/>
    <n v="1974.31"/>
    <n v="8"/>
    <x v="1"/>
  </r>
  <r>
    <d v="2022-03-31T00:00:00"/>
    <x v="4"/>
    <s v="South"/>
    <n v="1802.77"/>
    <n v="9"/>
    <x v="2"/>
  </r>
  <r>
    <d v="2023-04-28T00:00:00"/>
    <x v="0"/>
    <s v="South"/>
    <n v="244.58"/>
    <n v="6"/>
    <x v="4"/>
  </r>
  <r>
    <d v="2023-07-25T00:00:00"/>
    <x v="2"/>
    <s v="East"/>
    <n v="831.3"/>
    <n v="8"/>
    <x v="2"/>
  </r>
  <r>
    <d v="2023-10-06T00:00:00"/>
    <x v="2"/>
    <s v="North"/>
    <n v="1029.3900000000001"/>
    <n v="7"/>
    <x v="0"/>
  </r>
  <r>
    <d v="2022-07-01T00:00:00"/>
    <x v="0"/>
    <s v="North"/>
    <n v="1359.01"/>
    <n v="1"/>
    <x v="4"/>
  </r>
  <r>
    <d v="2022-06-19T00:00:00"/>
    <x v="3"/>
    <s v="North"/>
    <n v="138.24"/>
    <n v="6"/>
    <x v="0"/>
  </r>
  <r>
    <d v="2022-05-29T00:00:00"/>
    <x v="3"/>
    <s v="West"/>
    <n v="1639.35"/>
    <n v="9"/>
    <x v="3"/>
  </r>
  <r>
    <d v="2022-10-08T00:00:00"/>
    <x v="2"/>
    <s v="South"/>
    <n v="1903.36"/>
    <n v="8"/>
    <x v="2"/>
  </r>
  <r>
    <d v="2023-03-23T00:00:00"/>
    <x v="2"/>
    <s v="West"/>
    <n v="1510.49"/>
    <n v="6"/>
    <x v="0"/>
  </r>
  <r>
    <d v="2023-09-30T00:00:00"/>
    <x v="2"/>
    <s v="East"/>
    <n v="615.73"/>
    <n v="1"/>
    <x v="0"/>
  </r>
  <r>
    <d v="2023-04-05T00:00:00"/>
    <x v="1"/>
    <s v="South"/>
    <n v="1741.48"/>
    <n v="9"/>
    <x v="4"/>
  </r>
  <r>
    <d v="2023-06-23T00:00:00"/>
    <x v="0"/>
    <s v="East"/>
    <n v="1848.96"/>
    <n v="8"/>
    <x v="2"/>
  </r>
  <r>
    <d v="2022-08-02T00:00:00"/>
    <x v="3"/>
    <s v="West"/>
    <n v="147.46"/>
    <n v="5"/>
    <x v="0"/>
  </r>
  <r>
    <d v="2022-01-23T00:00:00"/>
    <x v="2"/>
    <s v="East"/>
    <n v="106.12"/>
    <n v="10"/>
    <x v="4"/>
  </r>
  <r>
    <d v="2023-08-26T00:00:00"/>
    <x v="4"/>
    <s v="West"/>
    <n v="150.66"/>
    <n v="9"/>
    <x v="3"/>
  </r>
  <r>
    <d v="2022-12-29T00:00:00"/>
    <x v="4"/>
    <s v="East"/>
    <n v="1157.72"/>
    <n v="4"/>
    <x v="4"/>
  </r>
  <r>
    <d v="2022-01-13T00:00:00"/>
    <x v="1"/>
    <s v="East"/>
    <n v="1369.48"/>
    <n v="2"/>
    <x v="0"/>
  </r>
  <r>
    <d v="2023-04-14T00:00:00"/>
    <x v="3"/>
    <s v="South"/>
    <n v="264.95999999999998"/>
    <n v="8"/>
    <x v="0"/>
  </r>
  <r>
    <d v="2022-07-12T00:00:00"/>
    <x v="0"/>
    <s v="East"/>
    <n v="1330.74"/>
    <n v="8"/>
    <x v="2"/>
  </r>
  <r>
    <d v="2022-09-19T00:00:00"/>
    <x v="0"/>
    <s v="East"/>
    <n v="967.7"/>
    <n v="8"/>
    <x v="2"/>
  </r>
  <r>
    <d v="2023-09-15T00:00:00"/>
    <x v="3"/>
    <s v="East"/>
    <n v="1161.96"/>
    <n v="7"/>
    <x v="0"/>
  </r>
  <r>
    <d v="2022-12-24T00:00:00"/>
    <x v="4"/>
    <s v="North"/>
    <n v="401.5"/>
    <n v="8"/>
    <x v="2"/>
  </r>
  <r>
    <d v="2022-04-07T00:00:00"/>
    <x v="4"/>
    <s v="West"/>
    <n v="1515.8"/>
    <n v="10"/>
    <x v="1"/>
  </r>
  <r>
    <d v="2023-03-13T00:00:00"/>
    <x v="4"/>
    <s v="South"/>
    <n v="1792.78"/>
    <n v="5"/>
    <x v="3"/>
  </r>
  <r>
    <d v="2022-11-29T00:00:00"/>
    <x v="1"/>
    <s v="North"/>
    <n v="1906.38"/>
    <n v="9"/>
    <x v="0"/>
  </r>
  <r>
    <d v="2023-05-24T00:00:00"/>
    <x v="3"/>
    <s v="East"/>
    <n v="517.45000000000005"/>
    <n v="8"/>
    <x v="2"/>
  </r>
  <r>
    <d v="2023-01-08T00:00:00"/>
    <x v="2"/>
    <s v="South"/>
    <n v="104.82"/>
    <n v="7"/>
    <x v="2"/>
  </r>
  <r>
    <d v="2022-06-09T00:00:00"/>
    <x v="4"/>
    <s v="West"/>
    <n v="1164.28"/>
    <n v="7"/>
    <x v="2"/>
  </r>
  <r>
    <d v="2022-01-14T00:00:00"/>
    <x v="1"/>
    <s v="North"/>
    <n v="1728.14"/>
    <n v="1"/>
    <x v="4"/>
  </r>
  <r>
    <d v="2022-02-24T00:00:00"/>
    <x v="3"/>
    <s v="East"/>
    <n v="444.26"/>
    <n v="10"/>
    <x v="3"/>
  </r>
  <r>
    <d v="2022-09-15T00:00:00"/>
    <x v="3"/>
    <s v="West"/>
    <n v="1262.3399999999999"/>
    <n v="1"/>
    <x v="4"/>
  </r>
  <r>
    <d v="2022-08-29T00:00:00"/>
    <x v="2"/>
    <s v="North"/>
    <n v="470.5"/>
    <n v="8"/>
    <x v="0"/>
  </r>
  <r>
    <d v="2023-11-11T00:00:00"/>
    <x v="3"/>
    <s v="North"/>
    <n v="831.54"/>
    <n v="8"/>
    <x v="0"/>
  </r>
  <r>
    <d v="2022-12-18T00:00:00"/>
    <x v="2"/>
    <s v="South"/>
    <n v="1791.88"/>
    <n v="4"/>
    <x v="0"/>
  </r>
  <r>
    <d v="2022-10-02T00:00:00"/>
    <x v="1"/>
    <s v="West"/>
    <n v="787.2"/>
    <n v="5"/>
    <x v="1"/>
  </r>
  <r>
    <d v="2022-01-21T00:00:00"/>
    <x v="2"/>
    <s v="North"/>
    <n v="981.19"/>
    <n v="7"/>
    <x v="2"/>
  </r>
  <r>
    <d v="2023-08-21T00:00:00"/>
    <x v="3"/>
    <s v="East"/>
    <n v="948.78"/>
    <n v="6"/>
    <x v="4"/>
  </r>
  <r>
    <d v="2022-10-16T00:00:00"/>
    <x v="4"/>
    <s v="West"/>
    <n v="1954.83"/>
    <n v="6"/>
    <x v="3"/>
  </r>
  <r>
    <d v="2023-11-27T00:00:00"/>
    <x v="0"/>
    <s v="South"/>
    <n v="1747.34"/>
    <n v="2"/>
    <x v="4"/>
  </r>
  <r>
    <d v="2023-01-24T00:00:00"/>
    <x v="1"/>
    <s v="South"/>
    <n v="855.1"/>
    <n v="7"/>
    <x v="2"/>
  </r>
  <r>
    <d v="2023-04-22T00:00:00"/>
    <x v="3"/>
    <s v="North"/>
    <n v="195.88"/>
    <n v="2"/>
    <x v="0"/>
  </r>
  <r>
    <d v="2022-09-26T00:00:00"/>
    <x v="3"/>
    <s v="South"/>
    <n v="716.14"/>
    <n v="8"/>
    <x v="3"/>
  </r>
  <r>
    <d v="2023-08-21T00:00:00"/>
    <x v="0"/>
    <s v="South"/>
    <n v="482.1"/>
    <n v="1"/>
    <x v="0"/>
  </r>
  <r>
    <d v="2023-08-01T00:00:00"/>
    <x v="1"/>
    <s v="West"/>
    <n v="1760.5"/>
    <n v="9"/>
    <x v="3"/>
  </r>
  <r>
    <d v="2022-08-15T00:00:00"/>
    <x v="4"/>
    <s v="South"/>
    <n v="1550.63"/>
    <n v="8"/>
    <x v="1"/>
  </r>
  <r>
    <d v="2022-02-22T00:00:00"/>
    <x v="3"/>
    <s v="West"/>
    <n v="1898.5"/>
    <n v="10"/>
    <x v="3"/>
  </r>
  <r>
    <d v="2023-06-27T00:00:00"/>
    <x v="1"/>
    <s v="North"/>
    <n v="476.16"/>
    <n v="6"/>
    <x v="0"/>
  </r>
  <r>
    <d v="2022-11-09T00:00:00"/>
    <x v="3"/>
    <s v="North"/>
    <n v="1826.25"/>
    <n v="7"/>
    <x v="2"/>
  </r>
  <r>
    <d v="2022-12-13T00:00:00"/>
    <x v="2"/>
    <s v="South"/>
    <n v="1630.34"/>
    <n v="3"/>
    <x v="1"/>
  </r>
  <r>
    <d v="2023-02-18T00:00:00"/>
    <x v="0"/>
    <s v="North"/>
    <n v="1894.83"/>
    <n v="7"/>
    <x v="2"/>
  </r>
  <r>
    <d v="2023-07-19T00:00:00"/>
    <x v="2"/>
    <s v="South"/>
    <n v="277.72000000000003"/>
    <n v="6"/>
    <x v="1"/>
  </r>
  <r>
    <d v="2023-09-17T00:00:00"/>
    <x v="0"/>
    <s v="North"/>
    <n v="414.68"/>
    <n v="2"/>
    <x v="3"/>
  </r>
  <r>
    <d v="2023-01-08T00:00:00"/>
    <x v="4"/>
    <s v="South"/>
    <n v="1803.38"/>
    <n v="7"/>
    <x v="2"/>
  </r>
  <r>
    <d v="2023-10-04T00:00:00"/>
    <x v="3"/>
    <s v="East"/>
    <n v="1028.8399999999999"/>
    <n v="5"/>
    <x v="0"/>
  </r>
  <r>
    <d v="2023-02-23T00:00:00"/>
    <x v="3"/>
    <s v="West"/>
    <n v="1553.97"/>
    <n v="7"/>
    <x v="2"/>
  </r>
  <r>
    <d v="2022-02-09T00:00:00"/>
    <x v="2"/>
    <s v="North"/>
    <n v="865.42"/>
    <n v="8"/>
    <x v="1"/>
  </r>
  <r>
    <d v="2023-03-05T00:00:00"/>
    <x v="0"/>
    <s v="South"/>
    <n v="841.8"/>
    <n v="1"/>
    <x v="0"/>
  </r>
  <r>
    <d v="2023-02-05T00:00:00"/>
    <x v="4"/>
    <s v="East"/>
    <n v="1628.84"/>
    <n v="4"/>
    <x v="1"/>
  </r>
  <r>
    <d v="2022-09-15T00:00:00"/>
    <x v="1"/>
    <s v="West"/>
    <n v="368.51"/>
    <n v="8"/>
    <x v="0"/>
  </r>
  <r>
    <d v="2023-07-11T00:00:00"/>
    <x v="3"/>
    <s v="West"/>
    <n v="345.87"/>
    <n v="8"/>
    <x v="0"/>
  </r>
  <r>
    <d v="2022-12-16T00:00:00"/>
    <x v="3"/>
    <s v="South"/>
    <n v="1947.03"/>
    <n v="3"/>
    <x v="3"/>
  </r>
  <r>
    <d v="2022-05-06T00:00:00"/>
    <x v="3"/>
    <s v="East"/>
    <n v="1813.84"/>
    <n v="6"/>
    <x v="0"/>
  </r>
  <r>
    <d v="2023-02-27T00:00:00"/>
    <x v="2"/>
    <s v="South"/>
    <n v="1819.37"/>
    <n v="3"/>
    <x v="4"/>
  </r>
  <r>
    <d v="2022-10-14T00:00:00"/>
    <x v="3"/>
    <s v="North"/>
    <n v="1505.08"/>
    <n v="7"/>
    <x v="4"/>
  </r>
  <r>
    <d v="2023-10-13T00:00:00"/>
    <x v="4"/>
    <s v="West"/>
    <n v="1028.7"/>
    <n v="4"/>
    <x v="3"/>
  </r>
  <r>
    <d v="2023-11-21T00:00:00"/>
    <x v="0"/>
    <s v="East"/>
    <n v="337.35"/>
    <n v="6"/>
    <x v="4"/>
  </r>
  <r>
    <d v="2022-04-25T00:00:00"/>
    <x v="3"/>
    <s v="West"/>
    <n v="1649.85"/>
    <n v="1"/>
    <x v="1"/>
  </r>
  <r>
    <d v="2023-02-20T00:00:00"/>
    <x v="4"/>
    <s v="North"/>
    <n v="1346.04"/>
    <n v="6"/>
    <x v="1"/>
  </r>
  <r>
    <d v="2023-05-08T00:00:00"/>
    <x v="2"/>
    <s v="North"/>
    <n v="1311.74"/>
    <n v="7"/>
    <x v="2"/>
  </r>
  <r>
    <d v="2022-10-14T00:00:00"/>
    <x v="1"/>
    <s v="North"/>
    <n v="417.07"/>
    <n v="1"/>
    <x v="1"/>
  </r>
  <r>
    <d v="2022-12-23T00:00:00"/>
    <x v="1"/>
    <s v="West"/>
    <n v="1819.43"/>
    <n v="10"/>
    <x v="4"/>
  </r>
  <r>
    <d v="2022-02-23T00:00:00"/>
    <x v="2"/>
    <s v="North"/>
    <n v="1224.1099999999999"/>
    <n v="5"/>
    <x v="1"/>
  </r>
  <r>
    <d v="2023-04-12T00:00:00"/>
    <x v="2"/>
    <s v="East"/>
    <n v="1688.54"/>
    <n v="4"/>
    <x v="1"/>
  </r>
  <r>
    <d v="2023-04-14T00:00:00"/>
    <x v="3"/>
    <s v="North"/>
    <n v="847.76"/>
    <n v="6"/>
    <x v="2"/>
  </r>
  <r>
    <d v="2023-02-15T00:00:00"/>
    <x v="4"/>
    <s v="East"/>
    <n v="572.36"/>
    <n v="10"/>
    <x v="1"/>
  </r>
  <r>
    <d v="2023-10-16T00:00:00"/>
    <x v="1"/>
    <s v="South"/>
    <n v="795.73"/>
    <n v="6"/>
    <x v="2"/>
  </r>
  <r>
    <d v="2023-04-03T00:00:00"/>
    <x v="0"/>
    <s v="East"/>
    <n v="1147.28"/>
    <n v="6"/>
    <x v="0"/>
  </r>
  <r>
    <d v="2023-07-11T00:00:00"/>
    <x v="1"/>
    <s v="North"/>
    <n v="1421.46"/>
    <n v="1"/>
    <x v="0"/>
  </r>
  <r>
    <d v="2022-06-18T00:00:00"/>
    <x v="4"/>
    <s v="South"/>
    <n v="421.76"/>
    <n v="6"/>
    <x v="2"/>
  </r>
  <r>
    <d v="2022-08-26T00:00:00"/>
    <x v="1"/>
    <s v="East"/>
    <n v="1829.64"/>
    <n v="6"/>
    <x v="2"/>
  </r>
  <r>
    <d v="2023-06-27T00:00:00"/>
    <x v="2"/>
    <s v="East"/>
    <n v="176.38"/>
    <n v="4"/>
    <x v="3"/>
  </r>
  <r>
    <d v="2023-10-01T00:00:00"/>
    <x v="2"/>
    <s v="West"/>
    <n v="1624.74"/>
    <n v="1"/>
    <x v="4"/>
  </r>
  <r>
    <d v="2022-08-03T00:00:00"/>
    <x v="4"/>
    <s v="East"/>
    <n v="268.89999999999998"/>
    <n v="9"/>
    <x v="1"/>
  </r>
  <r>
    <d v="2022-03-18T00:00:00"/>
    <x v="2"/>
    <s v="East"/>
    <n v="364.65"/>
    <n v="6"/>
    <x v="2"/>
  </r>
  <r>
    <d v="2023-05-14T00:00:00"/>
    <x v="2"/>
    <s v="South"/>
    <n v="1072.58"/>
    <n v="3"/>
    <x v="4"/>
  </r>
  <r>
    <d v="2022-06-10T00:00:00"/>
    <x v="4"/>
    <s v="West"/>
    <n v="832.71"/>
    <n v="6"/>
    <x v="2"/>
  </r>
  <r>
    <d v="2023-11-29T00:00:00"/>
    <x v="3"/>
    <s v="North"/>
    <n v="1984.92"/>
    <n v="2"/>
    <x v="3"/>
  </r>
  <r>
    <d v="2022-03-31T00:00:00"/>
    <x v="2"/>
    <s v="North"/>
    <n v="292.85000000000002"/>
    <n v="7"/>
    <x v="1"/>
  </r>
  <r>
    <d v="2023-10-21T00:00:00"/>
    <x v="4"/>
    <s v="West"/>
    <n v="1194.99"/>
    <n v="8"/>
    <x v="3"/>
  </r>
  <r>
    <d v="2023-06-16T00:00:00"/>
    <x v="2"/>
    <s v="West"/>
    <n v="623.26"/>
    <n v="6"/>
    <x v="4"/>
  </r>
  <r>
    <d v="2022-02-12T00:00:00"/>
    <x v="3"/>
    <s v="South"/>
    <n v="1265.73"/>
    <n v="4"/>
    <x v="3"/>
  </r>
  <r>
    <d v="2023-04-14T00:00:00"/>
    <x v="4"/>
    <s v="North"/>
    <n v="847.78"/>
    <n v="3"/>
    <x v="0"/>
  </r>
  <r>
    <d v="2022-12-19T00:00:00"/>
    <x v="4"/>
    <s v="East"/>
    <n v="487.55"/>
    <n v="2"/>
    <x v="1"/>
  </r>
  <r>
    <d v="2022-08-04T00:00:00"/>
    <x v="2"/>
    <s v="South"/>
    <n v="1423.74"/>
    <n v="4"/>
    <x v="1"/>
  </r>
  <r>
    <d v="2023-07-12T00:00:00"/>
    <x v="1"/>
    <s v="West"/>
    <n v="906.27"/>
    <n v="5"/>
    <x v="4"/>
  </r>
  <r>
    <d v="2022-02-05T00:00:00"/>
    <x v="3"/>
    <s v="East"/>
    <n v="711.16"/>
    <n v="1"/>
    <x v="3"/>
  </r>
  <r>
    <d v="2022-07-16T00:00:00"/>
    <x v="2"/>
    <s v="North"/>
    <n v="1253.2"/>
    <n v="9"/>
    <x v="3"/>
  </r>
  <r>
    <d v="2022-08-22T00:00:00"/>
    <x v="1"/>
    <s v="North"/>
    <n v="1409.15"/>
    <n v="4"/>
    <x v="3"/>
  </r>
  <r>
    <d v="2022-02-23T00:00:00"/>
    <x v="2"/>
    <s v="South"/>
    <n v="340.19"/>
    <n v="2"/>
    <x v="4"/>
  </r>
  <r>
    <d v="2022-04-03T00:00:00"/>
    <x v="1"/>
    <s v="South"/>
    <n v="1252.1099999999999"/>
    <n v="5"/>
    <x v="4"/>
  </r>
  <r>
    <d v="2022-11-10T00:00:00"/>
    <x v="0"/>
    <s v="East"/>
    <n v="1944.18"/>
    <n v="6"/>
    <x v="2"/>
  </r>
  <r>
    <d v="2023-09-07T00:00:00"/>
    <x v="2"/>
    <s v="North"/>
    <n v="680.9"/>
    <n v="4"/>
    <x v="4"/>
  </r>
  <r>
    <d v="2022-12-13T00:00:00"/>
    <x v="3"/>
    <s v="West"/>
    <n v="1697.37"/>
    <n v="8"/>
    <x v="1"/>
  </r>
  <r>
    <d v="2023-10-07T00:00:00"/>
    <x v="3"/>
    <s v="South"/>
    <n v="1143.4100000000001"/>
    <n v="4"/>
    <x v="4"/>
  </r>
  <r>
    <d v="2022-11-30T00:00:00"/>
    <x v="4"/>
    <s v="West"/>
    <n v="187.23"/>
    <n v="5"/>
    <x v="1"/>
  </r>
  <r>
    <d v="2023-07-06T00:00:00"/>
    <x v="4"/>
    <s v="South"/>
    <n v="1290.19"/>
    <n v="10"/>
    <x v="3"/>
  </r>
  <r>
    <d v="2023-09-22T00:00:00"/>
    <x v="0"/>
    <s v="North"/>
    <n v="384.71"/>
    <n v="6"/>
    <x v="2"/>
  </r>
  <r>
    <d v="2022-11-29T00:00:00"/>
    <x v="4"/>
    <s v="East"/>
    <n v="811.48"/>
    <n v="10"/>
    <x v="0"/>
  </r>
  <r>
    <d v="2022-07-29T00:00:00"/>
    <x v="3"/>
    <s v="North"/>
    <n v="461.07"/>
    <n v="5"/>
    <x v="3"/>
  </r>
  <r>
    <d v="2023-03-01T00:00:00"/>
    <x v="1"/>
    <s v="South"/>
    <n v="1059.68"/>
    <n v="8"/>
    <x v="1"/>
  </r>
  <r>
    <d v="2023-10-13T00:00:00"/>
    <x v="2"/>
    <s v="West"/>
    <n v="521.61"/>
    <n v="6"/>
    <x v="4"/>
  </r>
  <r>
    <d v="2022-03-09T00:00:00"/>
    <x v="2"/>
    <s v="South"/>
    <n v="1024.05"/>
    <n v="1"/>
    <x v="1"/>
  </r>
  <r>
    <d v="2023-03-18T00:00:00"/>
    <x v="2"/>
    <s v="North"/>
    <n v="1623.99"/>
    <n v="5"/>
    <x v="4"/>
  </r>
  <r>
    <d v="2022-06-15T00:00:00"/>
    <x v="4"/>
    <s v="East"/>
    <n v="1931.66"/>
    <n v="7"/>
    <x v="3"/>
  </r>
  <r>
    <d v="2022-01-21T00:00:00"/>
    <x v="0"/>
    <s v="North"/>
    <n v="218.71"/>
    <n v="9"/>
    <x v="4"/>
  </r>
  <r>
    <d v="2023-02-08T00:00:00"/>
    <x v="4"/>
    <s v="West"/>
    <n v="557.14"/>
    <n v="9"/>
    <x v="3"/>
  </r>
  <r>
    <d v="2022-12-25T00:00:00"/>
    <x v="2"/>
    <s v="West"/>
    <n v="281.29000000000002"/>
    <n v="2"/>
    <x v="4"/>
  </r>
  <r>
    <d v="2022-02-28T00:00:00"/>
    <x v="4"/>
    <s v="North"/>
    <n v="110.4"/>
    <n v="8"/>
    <x v="3"/>
  </r>
  <r>
    <d v="2022-07-09T00:00:00"/>
    <x v="3"/>
    <s v="East"/>
    <n v="207.73"/>
    <n v="6"/>
    <x v="2"/>
  </r>
  <r>
    <d v="2022-11-18T00:00:00"/>
    <x v="2"/>
    <s v="West"/>
    <n v="1955.32"/>
    <n v="2"/>
    <x v="3"/>
  </r>
  <r>
    <d v="2022-11-19T00:00:00"/>
    <x v="0"/>
    <s v="East"/>
    <n v="587.04"/>
    <n v="5"/>
    <x v="2"/>
  </r>
  <r>
    <d v="2022-10-25T00:00:00"/>
    <x v="0"/>
    <s v="North"/>
    <n v="1208.02"/>
    <n v="5"/>
    <x v="2"/>
  </r>
  <r>
    <d v="2023-04-30T00:00:00"/>
    <x v="0"/>
    <s v="North"/>
    <n v="1882.97"/>
    <n v="6"/>
    <x v="0"/>
  </r>
  <r>
    <d v="2022-02-22T00:00:00"/>
    <x v="1"/>
    <s v="South"/>
    <n v="728.23"/>
    <n v="8"/>
    <x v="0"/>
  </r>
  <r>
    <d v="2023-02-11T00:00:00"/>
    <x v="3"/>
    <s v="West"/>
    <n v="840.71"/>
    <n v="8"/>
    <x v="4"/>
  </r>
  <r>
    <d v="2023-07-22T00:00:00"/>
    <x v="2"/>
    <s v="West"/>
    <n v="1418.94"/>
    <n v="5"/>
    <x v="1"/>
  </r>
  <r>
    <d v="2022-09-03T00:00:00"/>
    <x v="1"/>
    <s v="East"/>
    <n v="208.15"/>
    <n v="9"/>
    <x v="0"/>
  </r>
  <r>
    <d v="2022-08-15T00:00:00"/>
    <x v="1"/>
    <s v="South"/>
    <n v="826.49"/>
    <n v="8"/>
    <x v="0"/>
  </r>
  <r>
    <d v="2022-08-18T00:00:00"/>
    <x v="0"/>
    <s v="West"/>
    <n v="346.28"/>
    <n v="7"/>
    <x v="1"/>
  </r>
  <r>
    <d v="2022-10-16T00:00:00"/>
    <x v="3"/>
    <s v="West"/>
    <n v="802.04"/>
    <n v="5"/>
    <x v="2"/>
  </r>
  <r>
    <d v="2022-12-14T00:00:00"/>
    <x v="3"/>
    <s v="East"/>
    <n v="529.20000000000005"/>
    <n v="1"/>
    <x v="0"/>
  </r>
  <r>
    <d v="2022-07-21T00:00:00"/>
    <x v="2"/>
    <s v="East"/>
    <n v="418.39"/>
    <n v="4"/>
    <x v="4"/>
  </r>
  <r>
    <d v="2023-02-10T00:00:00"/>
    <x v="4"/>
    <s v="West"/>
    <n v="1922.48"/>
    <n v="7"/>
    <x v="4"/>
  </r>
  <r>
    <d v="2022-07-20T00:00:00"/>
    <x v="2"/>
    <s v="North"/>
    <n v="1138.76"/>
    <n v="5"/>
    <x v="2"/>
  </r>
  <r>
    <d v="2023-03-26T00:00:00"/>
    <x v="1"/>
    <s v="East"/>
    <n v="1741.82"/>
    <n v="4"/>
    <x v="0"/>
  </r>
  <r>
    <d v="2023-09-11T00:00:00"/>
    <x v="2"/>
    <s v="West"/>
    <n v="1873.53"/>
    <n v="2"/>
    <x v="0"/>
  </r>
  <r>
    <d v="2023-08-06T00:00:00"/>
    <x v="0"/>
    <s v="South"/>
    <n v="345.08"/>
    <n v="7"/>
    <x v="0"/>
  </r>
  <r>
    <d v="2022-02-14T00:00:00"/>
    <x v="2"/>
    <s v="South"/>
    <n v="1391.13"/>
    <n v="10"/>
    <x v="4"/>
  </r>
  <r>
    <d v="2022-04-19T00:00:00"/>
    <x v="1"/>
    <s v="South"/>
    <n v="1158.17"/>
    <n v="5"/>
    <x v="1"/>
  </r>
  <r>
    <d v="2022-02-15T00:00:00"/>
    <x v="3"/>
    <s v="East"/>
    <n v="1860.26"/>
    <n v="8"/>
    <x v="4"/>
  </r>
  <r>
    <d v="2022-12-07T00:00:00"/>
    <x v="3"/>
    <s v="North"/>
    <n v="864.83"/>
    <n v="4"/>
    <x v="1"/>
  </r>
  <r>
    <d v="2022-11-10T00:00:00"/>
    <x v="2"/>
    <s v="North"/>
    <n v="526.19000000000005"/>
    <n v="3"/>
    <x v="1"/>
  </r>
  <r>
    <d v="2023-11-16T00:00:00"/>
    <x v="0"/>
    <s v="West"/>
    <n v="272.24"/>
    <n v="6"/>
    <x v="3"/>
  </r>
  <r>
    <d v="2023-03-30T00:00:00"/>
    <x v="0"/>
    <s v="North"/>
    <n v="1858.56"/>
    <n v="7"/>
    <x v="4"/>
  </r>
  <r>
    <d v="2022-08-23T00:00:00"/>
    <x v="3"/>
    <s v="North"/>
    <n v="1124.67"/>
    <n v="3"/>
    <x v="3"/>
  </r>
  <r>
    <d v="2022-09-16T00:00:00"/>
    <x v="3"/>
    <s v="West"/>
    <n v="1061.1400000000001"/>
    <n v="4"/>
    <x v="3"/>
  </r>
  <r>
    <d v="2023-11-21T00:00:00"/>
    <x v="1"/>
    <s v="North"/>
    <n v="539.02"/>
    <n v="1"/>
    <x v="3"/>
  </r>
  <r>
    <d v="2023-04-22T00:00:00"/>
    <x v="1"/>
    <s v="North"/>
    <n v="430.11"/>
    <n v="6"/>
    <x v="0"/>
  </r>
  <r>
    <d v="2023-05-26T00:00:00"/>
    <x v="0"/>
    <s v="South"/>
    <n v="1899.89"/>
    <n v="5"/>
    <x v="2"/>
  </r>
  <r>
    <d v="2023-06-08T00:00:00"/>
    <x v="0"/>
    <s v="North"/>
    <n v="714.71"/>
    <n v="5"/>
    <x v="0"/>
  </r>
  <r>
    <d v="2023-06-15T00:00:00"/>
    <x v="0"/>
    <s v="East"/>
    <n v="772.6"/>
    <n v="4"/>
    <x v="4"/>
  </r>
  <r>
    <d v="2022-01-16T00:00:00"/>
    <x v="4"/>
    <s v="East"/>
    <n v="1791.19"/>
    <n v="3"/>
    <x v="1"/>
  </r>
  <r>
    <d v="2022-05-11T00:00:00"/>
    <x v="4"/>
    <s v="East"/>
    <n v="502.38"/>
    <n v="5"/>
    <x v="2"/>
  </r>
  <r>
    <d v="2022-04-03T00:00:00"/>
    <x v="3"/>
    <s v="North"/>
    <n v="1419.25"/>
    <n v="9"/>
    <x v="3"/>
  </r>
  <r>
    <d v="2022-02-15T00:00:00"/>
    <x v="3"/>
    <s v="East"/>
    <n v="1100.78"/>
    <n v="3"/>
    <x v="1"/>
  </r>
  <r>
    <d v="2023-09-05T00:00:00"/>
    <x v="1"/>
    <s v="North"/>
    <n v="1127.44"/>
    <n v="5"/>
    <x v="2"/>
  </r>
  <r>
    <d v="2022-01-27T00:00:00"/>
    <x v="2"/>
    <s v="West"/>
    <n v="1819.68"/>
    <n v="9"/>
    <x v="4"/>
  </r>
  <r>
    <d v="2022-08-14T00:00:00"/>
    <x v="2"/>
    <s v="North"/>
    <n v="1841.22"/>
    <n v="6"/>
    <x v="3"/>
  </r>
  <r>
    <d v="2022-01-11T00:00:00"/>
    <x v="1"/>
    <s v="West"/>
    <n v="1290.6600000000001"/>
    <n v="1"/>
    <x v="0"/>
  </r>
  <r>
    <d v="2022-01-29T00:00:00"/>
    <x v="3"/>
    <s v="East"/>
    <n v="967.33"/>
    <n v="8"/>
    <x v="1"/>
  </r>
  <r>
    <d v="2023-10-11T00:00:00"/>
    <x v="0"/>
    <s v="South"/>
    <n v="458.55"/>
    <n v="8"/>
    <x v="0"/>
  </r>
  <r>
    <d v="2023-04-24T00:00:00"/>
    <x v="3"/>
    <s v="West"/>
    <n v="148.15"/>
    <n v="5"/>
    <x v="2"/>
  </r>
  <r>
    <d v="2022-02-09T00:00:00"/>
    <x v="4"/>
    <s v="South"/>
    <n v="1584.76"/>
    <n v="2"/>
    <x v="0"/>
  </r>
  <r>
    <d v="2022-06-29T00:00:00"/>
    <x v="1"/>
    <s v="East"/>
    <n v="431.29"/>
    <n v="1"/>
    <x v="3"/>
  </r>
  <r>
    <d v="2022-05-30T00:00:00"/>
    <x v="3"/>
    <s v="West"/>
    <n v="1404.76"/>
    <n v="8"/>
    <x v="0"/>
  </r>
  <r>
    <d v="2023-05-16T00:00:00"/>
    <x v="2"/>
    <s v="East"/>
    <n v="554.89"/>
    <n v="10"/>
    <x v="1"/>
  </r>
  <r>
    <d v="2022-11-11T00:00:00"/>
    <x v="1"/>
    <s v="North"/>
    <n v="1427.63"/>
    <n v="3"/>
    <x v="4"/>
  </r>
  <r>
    <d v="2023-10-04T00:00:00"/>
    <x v="4"/>
    <s v="East"/>
    <n v="1687.82"/>
    <n v="5"/>
    <x v="2"/>
  </r>
  <r>
    <d v="2022-04-18T00:00:00"/>
    <x v="0"/>
    <s v="North"/>
    <n v="189.39"/>
    <n v="6"/>
    <x v="4"/>
  </r>
  <r>
    <d v="2023-04-08T00:00:00"/>
    <x v="4"/>
    <s v="West"/>
    <n v="1973.66"/>
    <n v="5"/>
    <x v="2"/>
  </r>
  <r>
    <d v="2023-05-13T00:00:00"/>
    <x v="0"/>
    <s v="North"/>
    <n v="1715.48"/>
    <n v="8"/>
    <x v="1"/>
  </r>
  <r>
    <d v="2023-01-28T00:00:00"/>
    <x v="4"/>
    <s v="East"/>
    <n v="820.62"/>
    <n v="4"/>
    <x v="3"/>
  </r>
  <r>
    <d v="2022-04-16T00:00:00"/>
    <x v="1"/>
    <s v="West"/>
    <n v="1719.8"/>
    <n v="4"/>
    <x v="0"/>
  </r>
  <r>
    <d v="2022-07-21T00:00:00"/>
    <x v="2"/>
    <s v="North"/>
    <n v="603.95000000000005"/>
    <n v="7"/>
    <x v="1"/>
  </r>
  <r>
    <d v="2023-11-03T00:00:00"/>
    <x v="3"/>
    <s v="North"/>
    <n v="1062.68"/>
    <n v="5"/>
    <x v="2"/>
  </r>
  <r>
    <d v="2023-01-09T00:00:00"/>
    <x v="3"/>
    <s v="South"/>
    <n v="172.81"/>
    <n v="2"/>
    <x v="3"/>
  </r>
  <r>
    <d v="2023-08-01T00:00:00"/>
    <x v="1"/>
    <s v="South"/>
    <n v="913.12"/>
    <n v="5"/>
    <x v="0"/>
  </r>
  <r>
    <d v="2022-05-27T00:00:00"/>
    <x v="0"/>
    <s v="East"/>
    <n v="1228.94"/>
    <n v="7"/>
    <x v="4"/>
  </r>
  <r>
    <d v="2022-09-27T00:00:00"/>
    <x v="0"/>
    <s v="West"/>
    <n v="324.76"/>
    <n v="5"/>
    <x v="1"/>
  </r>
  <r>
    <d v="2023-06-14T00:00:00"/>
    <x v="2"/>
    <s v="North"/>
    <n v="646.54"/>
    <n v="6"/>
    <x v="1"/>
  </r>
  <r>
    <d v="2023-01-19T00:00:00"/>
    <x v="0"/>
    <s v="South"/>
    <n v="1187.5"/>
    <n v="6"/>
    <x v="0"/>
  </r>
  <r>
    <d v="2022-08-07T00:00:00"/>
    <x v="1"/>
    <s v="South"/>
    <n v="1690.15"/>
    <n v="8"/>
    <x v="1"/>
  </r>
  <r>
    <d v="2023-10-01T00:00:00"/>
    <x v="1"/>
    <s v="West"/>
    <n v="1549.15"/>
    <n v="9"/>
    <x v="0"/>
  </r>
  <r>
    <d v="2022-02-26T00:00:00"/>
    <x v="4"/>
    <s v="East"/>
    <n v="801.02"/>
    <n v="7"/>
    <x v="0"/>
  </r>
  <r>
    <d v="2022-11-18T00:00:00"/>
    <x v="3"/>
    <s v="East"/>
    <n v="432.71"/>
    <n v="10"/>
    <x v="4"/>
  </r>
  <r>
    <d v="2023-06-29T00:00:00"/>
    <x v="4"/>
    <s v="West"/>
    <n v="1489.26"/>
    <n v="4"/>
    <x v="4"/>
  </r>
  <r>
    <d v="2022-07-26T00:00:00"/>
    <x v="2"/>
    <s v="South"/>
    <n v="1885.74"/>
    <n v="5"/>
    <x v="2"/>
  </r>
  <r>
    <d v="2023-09-18T00:00:00"/>
    <x v="3"/>
    <s v="West"/>
    <n v="1826.41"/>
    <n v="5"/>
    <x v="2"/>
  </r>
  <r>
    <d v="2023-08-04T00:00:00"/>
    <x v="3"/>
    <s v="East"/>
    <n v="1601.09"/>
    <n v="2"/>
    <x v="1"/>
  </r>
  <r>
    <d v="2023-03-16T00:00:00"/>
    <x v="0"/>
    <s v="North"/>
    <n v="539.91999999999996"/>
    <n v="8"/>
    <x v="4"/>
  </r>
  <r>
    <d v="2023-11-03T00:00:00"/>
    <x v="1"/>
    <s v="South"/>
    <n v="1222.46"/>
    <n v="5"/>
    <x v="2"/>
  </r>
  <r>
    <d v="2022-04-01T00:00:00"/>
    <x v="2"/>
    <s v="North"/>
    <n v="1619.17"/>
    <n v="10"/>
    <x v="0"/>
  </r>
  <r>
    <d v="2022-02-13T00:00:00"/>
    <x v="3"/>
    <s v="South"/>
    <n v="1750.74"/>
    <n v="9"/>
    <x v="0"/>
  </r>
  <r>
    <d v="2023-09-08T00:00:00"/>
    <x v="4"/>
    <s v="South"/>
    <n v="1603.57"/>
    <n v="4"/>
    <x v="2"/>
  </r>
  <r>
    <d v="2023-08-13T00:00:00"/>
    <x v="3"/>
    <s v="North"/>
    <n v="645.94000000000005"/>
    <n v="1"/>
    <x v="0"/>
  </r>
  <r>
    <d v="2023-06-05T00:00:00"/>
    <x v="1"/>
    <s v="South"/>
    <n v="1144.3900000000001"/>
    <n v="7"/>
    <x v="3"/>
  </r>
  <r>
    <d v="2023-04-07T00:00:00"/>
    <x v="3"/>
    <s v="West"/>
    <n v="146.19"/>
    <n v="7"/>
    <x v="3"/>
  </r>
  <r>
    <d v="2022-07-02T00:00:00"/>
    <x v="2"/>
    <s v="East"/>
    <n v="1285.06"/>
    <n v="5"/>
    <x v="0"/>
  </r>
  <r>
    <d v="2023-06-17T00:00:00"/>
    <x v="4"/>
    <s v="East"/>
    <n v="358.85"/>
    <n v="5"/>
    <x v="1"/>
  </r>
  <r>
    <d v="2023-05-29T00:00:00"/>
    <x v="4"/>
    <s v="South"/>
    <n v="446.14"/>
    <n v="4"/>
    <x v="2"/>
  </r>
  <r>
    <d v="2023-03-23T00:00:00"/>
    <x v="1"/>
    <s v="North"/>
    <n v="247.62"/>
    <n v="1"/>
    <x v="4"/>
  </r>
  <r>
    <d v="2022-12-27T00:00:00"/>
    <x v="3"/>
    <s v="West"/>
    <n v="399.04"/>
    <n v="9"/>
    <x v="4"/>
  </r>
  <r>
    <d v="2022-02-20T00:00:00"/>
    <x v="0"/>
    <s v="North"/>
    <n v="1532.74"/>
    <n v="6"/>
    <x v="4"/>
  </r>
  <r>
    <d v="2023-11-07T00:00:00"/>
    <x v="3"/>
    <s v="West"/>
    <n v="1419.35"/>
    <n v="8"/>
    <x v="1"/>
  </r>
  <r>
    <d v="2023-05-13T00:00:00"/>
    <x v="2"/>
    <s v="North"/>
    <n v="1517.76"/>
    <n v="1"/>
    <x v="3"/>
  </r>
  <r>
    <d v="2022-12-29T00:00:00"/>
    <x v="3"/>
    <s v="North"/>
    <n v="724.39"/>
    <n v="3"/>
    <x v="0"/>
  </r>
  <r>
    <d v="2022-09-29T00:00:00"/>
    <x v="1"/>
    <s v="North"/>
    <n v="246.83"/>
    <n v="1"/>
    <x v="0"/>
  </r>
  <r>
    <d v="2022-12-25T00:00:00"/>
    <x v="2"/>
    <s v="North"/>
    <n v="408.56"/>
    <n v="8"/>
    <x v="4"/>
  </r>
  <r>
    <d v="2023-11-20T00:00:00"/>
    <x v="1"/>
    <s v="West"/>
    <n v="832.7"/>
    <n v="4"/>
    <x v="2"/>
  </r>
  <r>
    <d v="2022-01-20T00:00:00"/>
    <x v="4"/>
    <s v="East"/>
    <n v="1615.02"/>
    <n v="10"/>
    <x v="3"/>
  </r>
  <r>
    <d v="2023-01-15T00:00:00"/>
    <x v="0"/>
    <s v="South"/>
    <n v="1495.59"/>
    <n v="1"/>
    <x v="4"/>
  </r>
  <r>
    <d v="2023-06-12T00:00:00"/>
    <x v="3"/>
    <s v="South"/>
    <n v="569.16"/>
    <n v="4"/>
    <x v="2"/>
  </r>
  <r>
    <d v="2022-08-22T00:00:00"/>
    <x v="3"/>
    <s v="South"/>
    <n v="1088.74"/>
    <n v="2"/>
    <x v="3"/>
  </r>
  <r>
    <d v="2023-06-25T00:00:00"/>
    <x v="4"/>
    <s v="West"/>
    <n v="1763.45"/>
    <n v="4"/>
    <x v="2"/>
  </r>
  <r>
    <d v="2023-06-27T00:00:00"/>
    <x v="0"/>
    <s v="South"/>
    <n v="1308.72"/>
    <n v="8"/>
    <x v="1"/>
  </r>
  <r>
    <d v="2023-05-27T00:00:00"/>
    <x v="3"/>
    <s v="West"/>
    <n v="1374.84"/>
    <n v="4"/>
    <x v="2"/>
  </r>
  <r>
    <d v="2022-05-23T00:00:00"/>
    <x v="2"/>
    <s v="East"/>
    <n v="441.63"/>
    <n v="5"/>
    <x v="3"/>
  </r>
  <r>
    <d v="2023-09-11T00:00:00"/>
    <x v="2"/>
    <s v="East"/>
    <n v="1066.98"/>
    <n v="8"/>
    <x v="3"/>
  </r>
  <r>
    <d v="2022-12-05T00:00:00"/>
    <x v="3"/>
    <s v="North"/>
    <n v="1067.81"/>
    <n v="2"/>
    <x v="0"/>
  </r>
  <r>
    <d v="2023-05-06T00:00:00"/>
    <x v="1"/>
    <s v="North"/>
    <n v="1862.88"/>
    <n v="10"/>
    <x v="0"/>
  </r>
  <r>
    <d v="2022-03-21T00:00:00"/>
    <x v="0"/>
    <s v="West"/>
    <n v="1579.8"/>
    <n v="10"/>
    <x v="4"/>
  </r>
  <r>
    <d v="2023-09-03T00:00:00"/>
    <x v="3"/>
    <s v="South"/>
    <n v="832.83"/>
    <n v="3"/>
    <x v="2"/>
  </r>
  <r>
    <d v="2022-04-24T00:00:00"/>
    <x v="2"/>
    <s v="North"/>
    <n v="1052.4000000000001"/>
    <n v="3"/>
    <x v="4"/>
  </r>
  <r>
    <d v="2023-09-16T00:00:00"/>
    <x v="2"/>
    <s v="South"/>
    <n v="895.74"/>
    <n v="3"/>
    <x v="2"/>
  </r>
  <r>
    <d v="2023-08-25T00:00:00"/>
    <x v="3"/>
    <s v="South"/>
    <n v="690.94"/>
    <n v="9"/>
    <x v="1"/>
  </r>
  <r>
    <d v="2023-06-21T00:00:00"/>
    <x v="4"/>
    <s v="West"/>
    <n v="1173.1099999999999"/>
    <n v="3"/>
    <x v="4"/>
  </r>
  <r>
    <d v="2023-06-05T00:00:00"/>
    <x v="1"/>
    <s v="East"/>
    <n v="1496.91"/>
    <n v="4"/>
    <x v="3"/>
  </r>
  <r>
    <d v="2023-10-05T00:00:00"/>
    <x v="3"/>
    <s v="West"/>
    <n v="1536.02"/>
    <n v="6"/>
    <x v="3"/>
  </r>
  <r>
    <d v="2022-02-15T00:00:00"/>
    <x v="2"/>
    <s v="East"/>
    <n v="1628.61"/>
    <n v="2"/>
    <x v="1"/>
  </r>
  <r>
    <d v="2023-03-11T00:00:00"/>
    <x v="3"/>
    <s v="West"/>
    <n v="920.28"/>
    <n v="8"/>
    <x v="3"/>
  </r>
  <r>
    <d v="2023-03-16T00:00:00"/>
    <x v="2"/>
    <s v="West"/>
    <n v="376.88"/>
    <n v="3"/>
    <x v="2"/>
  </r>
  <r>
    <d v="2022-04-16T00:00:00"/>
    <x v="2"/>
    <s v="North"/>
    <n v="780.13"/>
    <n v="10"/>
    <x v="4"/>
  </r>
  <r>
    <d v="2022-06-09T00:00:00"/>
    <x v="2"/>
    <s v="South"/>
    <n v="1962.6"/>
    <n v="3"/>
    <x v="2"/>
  </r>
  <r>
    <d v="2023-09-07T00:00:00"/>
    <x v="1"/>
    <s v="South"/>
    <n v="559.14"/>
    <n v="9"/>
    <x v="3"/>
  </r>
  <r>
    <d v="2022-03-30T00:00:00"/>
    <x v="2"/>
    <s v="North"/>
    <n v="118.04"/>
    <n v="1"/>
    <x v="0"/>
  </r>
  <r>
    <d v="2022-03-22T00:00:00"/>
    <x v="3"/>
    <s v="South"/>
    <n v="718.62"/>
    <n v="2"/>
    <x v="0"/>
  </r>
  <r>
    <d v="2022-05-03T00:00:00"/>
    <x v="1"/>
    <s v="East"/>
    <n v="1109.45"/>
    <n v="6"/>
    <x v="4"/>
  </r>
  <r>
    <d v="2023-10-01T00:00:00"/>
    <x v="1"/>
    <s v="North"/>
    <n v="134.66"/>
    <n v="8"/>
    <x v="3"/>
  </r>
  <r>
    <d v="2022-11-09T00:00:00"/>
    <x v="4"/>
    <s v="South"/>
    <n v="1540.89"/>
    <n v="7"/>
    <x v="3"/>
  </r>
  <r>
    <d v="2022-01-28T00:00:00"/>
    <x v="2"/>
    <s v="South"/>
    <n v="1677.28"/>
    <n v="2"/>
    <x v="4"/>
  </r>
  <r>
    <d v="2022-09-24T00:00:00"/>
    <x v="0"/>
    <s v="West"/>
    <n v="226.15"/>
    <n v="5"/>
    <x v="3"/>
  </r>
  <r>
    <d v="2023-08-15T00:00:00"/>
    <x v="4"/>
    <s v="South"/>
    <n v="1508.31"/>
    <n v="6"/>
    <x v="1"/>
  </r>
  <r>
    <d v="2023-08-27T00:00:00"/>
    <x v="3"/>
    <s v="East"/>
    <n v="1366.47"/>
    <n v="4"/>
    <x v="4"/>
  </r>
  <r>
    <d v="2023-03-20T00:00:00"/>
    <x v="2"/>
    <s v="South"/>
    <n v="1683.86"/>
    <n v="3"/>
    <x v="2"/>
  </r>
  <r>
    <d v="2023-10-04T00:00:00"/>
    <x v="3"/>
    <s v="South"/>
    <n v="1868.67"/>
    <n v="7"/>
    <x v="1"/>
  </r>
  <r>
    <d v="2022-11-16T00:00:00"/>
    <x v="2"/>
    <s v="North"/>
    <n v="1523.8"/>
    <n v="2"/>
    <x v="2"/>
  </r>
  <r>
    <d v="2023-07-26T00:00:00"/>
    <x v="2"/>
    <s v="South"/>
    <n v="1573.89"/>
    <n v="6"/>
    <x v="3"/>
  </r>
  <r>
    <d v="2022-07-25T00:00:00"/>
    <x v="0"/>
    <s v="East"/>
    <n v="1333.49"/>
    <n v="7"/>
    <x v="4"/>
  </r>
  <r>
    <d v="2023-05-06T00:00:00"/>
    <x v="2"/>
    <s v="West"/>
    <n v="1026.71"/>
    <n v="6"/>
    <x v="4"/>
  </r>
  <r>
    <d v="2023-11-19T00:00:00"/>
    <x v="2"/>
    <s v="East"/>
    <n v="1379.87"/>
    <n v="2"/>
    <x v="4"/>
  </r>
  <r>
    <d v="2022-12-02T00:00:00"/>
    <x v="1"/>
    <s v="East"/>
    <n v="216.53"/>
    <n v="2"/>
    <x v="2"/>
  </r>
  <r>
    <d v="2023-01-01T00:00:00"/>
    <x v="4"/>
    <s v="North"/>
    <n v="279.10000000000002"/>
    <n v="3"/>
    <x v="3"/>
  </r>
  <r>
    <d v="2023-05-04T00:00:00"/>
    <x v="3"/>
    <s v="South"/>
    <n v="697.51"/>
    <n v="6"/>
    <x v="1"/>
  </r>
  <r>
    <d v="2023-04-06T00:00:00"/>
    <x v="2"/>
    <s v="South"/>
    <n v="545.01"/>
    <n v="3"/>
    <x v="0"/>
  </r>
  <r>
    <d v="2023-08-01T00:00:00"/>
    <x v="2"/>
    <s v="South"/>
    <n v="1705.06"/>
    <n v="3"/>
    <x v="1"/>
  </r>
  <r>
    <d v="2022-12-15T00:00:00"/>
    <x v="4"/>
    <s v="North"/>
    <n v="132.75"/>
    <n v="2"/>
    <x v="2"/>
  </r>
  <r>
    <d v="2023-04-28T00:00:00"/>
    <x v="0"/>
    <s v="South"/>
    <n v="1432.38"/>
    <n v="2"/>
    <x v="2"/>
  </r>
  <r>
    <d v="2022-09-08T00:00:00"/>
    <x v="3"/>
    <s v="South"/>
    <n v="202.76"/>
    <n v="1"/>
    <x v="4"/>
  </r>
  <r>
    <d v="2022-01-15T00:00:00"/>
    <x v="3"/>
    <s v="South"/>
    <n v="1669.58"/>
    <n v="9"/>
    <x v="3"/>
  </r>
  <r>
    <d v="2022-05-22T00:00:00"/>
    <x v="4"/>
    <s v="East"/>
    <n v="193.12"/>
    <n v="5"/>
    <x v="1"/>
  </r>
  <r>
    <d v="2022-04-08T00:00:00"/>
    <x v="1"/>
    <s v="East"/>
    <n v="376.97"/>
    <n v="2"/>
    <x v="4"/>
  </r>
  <r>
    <d v="2023-02-21T00:00:00"/>
    <x v="3"/>
    <s v="South"/>
    <n v="512.20000000000005"/>
    <n v="2"/>
    <x v="2"/>
  </r>
  <r>
    <d v="2023-09-04T00:00:00"/>
    <x v="2"/>
    <s v="South"/>
    <n v="867.48"/>
    <n v="10"/>
    <x v="4"/>
  </r>
  <r>
    <d v="2023-06-01T00:00:00"/>
    <x v="4"/>
    <s v="South"/>
    <n v="1462.61"/>
    <n v="3"/>
    <x v="3"/>
  </r>
  <r>
    <d v="2022-11-12T00:00:00"/>
    <x v="0"/>
    <s v="East"/>
    <n v="1852.65"/>
    <n v="1"/>
    <x v="2"/>
  </r>
  <r>
    <d v="2022-03-31T00:00:00"/>
    <x v="4"/>
    <s v="East"/>
    <n v="811.24"/>
    <n v="1"/>
    <x v="2"/>
  </r>
  <r>
    <d v="2022-04-25T00:00:00"/>
    <x v="1"/>
    <s v="West"/>
    <n v="1490.54"/>
    <n v="3"/>
    <x v="1"/>
  </r>
  <r>
    <d v="2022-05-27T00:00:00"/>
    <x v="3"/>
    <s v="West"/>
    <n v="878.33"/>
    <n v="3"/>
    <x v="3"/>
  </r>
  <r>
    <d v="2023-05-19T00:00:00"/>
    <x v="3"/>
    <s v="West"/>
    <n v="250.49"/>
    <n v="2"/>
    <x v="1"/>
  </r>
  <r>
    <d v="2022-09-18T00:00:00"/>
    <x v="0"/>
    <s v="East"/>
    <n v="372.34"/>
    <n v="2"/>
    <x v="1"/>
  </r>
  <r>
    <d v="2022-08-28T00:00:00"/>
    <x v="0"/>
    <s v="East"/>
    <n v="1950.73"/>
    <n v="10"/>
    <x v="3"/>
  </r>
  <r>
    <d v="2022-01-14T00:00:00"/>
    <x v="4"/>
    <s v="West"/>
    <n v="303.95"/>
    <n v="5"/>
    <x v="1"/>
  </r>
  <r>
    <d v="2023-09-02T00:00:00"/>
    <x v="4"/>
    <s v="South"/>
    <n v="1022.49"/>
    <n v="5"/>
    <x v="0"/>
  </r>
  <r>
    <d v="2023-06-07T00:00:00"/>
    <x v="3"/>
    <s v="East"/>
    <n v="1973.06"/>
    <n v="2"/>
    <x v="3"/>
  </r>
  <r>
    <d v="2022-12-26T00:00:00"/>
    <x v="4"/>
    <s v="North"/>
    <n v="1203.3599999999999"/>
    <n v="2"/>
    <x v="1"/>
  </r>
  <r>
    <d v="2022-02-01T00:00:00"/>
    <x v="2"/>
    <s v="West"/>
    <n v="1426.36"/>
    <n v="6"/>
    <x v="0"/>
  </r>
  <r>
    <d v="2022-03-22T00:00:00"/>
    <x v="4"/>
    <s v="West"/>
    <n v="143.66999999999999"/>
    <n v="1"/>
    <x v="2"/>
  </r>
  <r>
    <d v="2022-11-16T00:00:00"/>
    <x v="1"/>
    <s v="North"/>
    <n v="1789.27"/>
    <n v="2"/>
    <x v="4"/>
  </r>
  <r>
    <d v="2023-08-02T00:00:00"/>
    <x v="4"/>
    <s v="North"/>
    <n v="320.99"/>
    <n v="8"/>
    <x v="4"/>
  </r>
  <r>
    <d v="2023-11-15T00:00:00"/>
    <x v="0"/>
    <s v="North"/>
    <n v="1425.2"/>
    <n v="1"/>
    <x v="2"/>
  </r>
  <r>
    <d v="2022-11-27T00:00:00"/>
    <x v="1"/>
    <s v="South"/>
    <n v="482.7"/>
    <n v="3"/>
    <x v="1"/>
  </r>
  <r>
    <d v="2022-09-04T00:00:00"/>
    <x v="2"/>
    <s v="South"/>
    <n v="1596.98"/>
    <n v="2"/>
    <x v="4"/>
  </r>
  <r>
    <d v="2022-07-13T00:00:00"/>
    <x v="0"/>
    <s v="North"/>
    <n v="703.65"/>
    <n v="3"/>
    <x v="4"/>
  </r>
  <r>
    <d v="2023-10-29T00:00:00"/>
    <x v="4"/>
    <s v="West"/>
    <n v="124.63"/>
    <n v="1"/>
    <x v="2"/>
  </r>
  <r>
    <d v="2023-09-13T00:00:00"/>
    <x v="3"/>
    <s v="South"/>
    <n v="1386.26"/>
    <n v="4"/>
    <x v="4"/>
  </r>
  <r>
    <d v="2022-03-14T00:00:00"/>
    <x v="3"/>
    <s v="East"/>
    <n v="1755.13"/>
    <n v="8"/>
    <x v="3"/>
  </r>
  <r>
    <d v="2022-04-23T00:00:00"/>
    <x v="0"/>
    <s v="North"/>
    <n v="753.93"/>
    <n v="6"/>
    <x v="0"/>
  </r>
  <r>
    <d v="2022-04-04T00:00:00"/>
    <x v="2"/>
    <s v="West"/>
    <n v="1276.5899999999999"/>
    <n v="1"/>
    <x v="4"/>
  </r>
  <r>
    <d v="2023-07-10T00:00:00"/>
    <x v="2"/>
    <s v="South"/>
    <n v="1315.33"/>
    <n v="9"/>
    <x v="1"/>
  </r>
  <r>
    <d v="2023-06-12T00:00:00"/>
    <x v="0"/>
    <s v="East"/>
    <n v="1551.06"/>
    <n v="6"/>
    <x v="0"/>
  </r>
  <r>
    <d v="2022-01-15T00:00:00"/>
    <x v="0"/>
    <s v="West"/>
    <n v="985.87"/>
    <n v="9"/>
    <x v="4"/>
  </r>
  <r>
    <d v="2023-10-06T00:00:00"/>
    <x v="3"/>
    <s v="West"/>
    <n v="1090.03"/>
    <n v="7"/>
    <x v="0"/>
  </r>
  <r>
    <d v="2023-08-25T00:00:00"/>
    <x v="4"/>
    <s v="West"/>
    <n v="1114.1400000000001"/>
    <n v="9"/>
    <x v="0"/>
  </r>
  <r>
    <d v="2023-02-09T00:00:00"/>
    <x v="2"/>
    <s v="East"/>
    <n v="700.33"/>
    <n v="6"/>
    <x v="1"/>
  </r>
  <r>
    <d v="2022-02-10T00:00:00"/>
    <x v="1"/>
    <s v="West"/>
    <n v="160.27000000000001"/>
    <n v="1"/>
    <x v="2"/>
  </r>
  <r>
    <d v="2022-03-25T00:00:00"/>
    <x v="4"/>
    <s v="South"/>
    <n v="1423.52"/>
    <n v="6"/>
    <x v="3"/>
  </r>
  <r>
    <d v="2022-03-25T00:00:00"/>
    <x v="4"/>
    <s v="South"/>
    <n v="1977.72"/>
    <n v="7"/>
    <x v="1"/>
  </r>
  <r>
    <d v="2023-01-26T00:00:00"/>
    <x v="3"/>
    <s v="East"/>
    <n v="793.03"/>
    <n v="6"/>
    <x v="0"/>
  </r>
  <r>
    <d v="2022-09-19T00:00:00"/>
    <x v="4"/>
    <s v="North"/>
    <n v="1876.89"/>
    <n v="9"/>
    <x v="0"/>
  </r>
  <r>
    <d v="2023-03-06T00:00:00"/>
    <x v="1"/>
    <s v="East"/>
    <n v="480.43"/>
    <n v="1"/>
    <x v="2"/>
  </r>
  <r>
    <d v="2022-05-02T00:00:00"/>
    <x v="0"/>
    <s v="North"/>
    <n v="563.99"/>
    <n v="2"/>
    <x v="0"/>
  </r>
  <r>
    <d v="2023-10-19T00:00:00"/>
    <x v="4"/>
    <s v="South"/>
    <n v="626.16999999999996"/>
    <n v="7"/>
    <x v="4"/>
  </r>
  <r>
    <d v="2022-09-16T00:00:00"/>
    <x v="3"/>
    <s v="East"/>
    <n v="342.88"/>
    <n v="6"/>
    <x v="0"/>
  </r>
  <r>
    <d v="2022-09-05T00:00:00"/>
    <x v="2"/>
    <s v="West"/>
    <n v="1587.32"/>
    <n v="1"/>
    <x v="2"/>
  </r>
  <r>
    <d v="2022-06-19T00:00:00"/>
    <x v="2"/>
    <s v="North"/>
    <n v="605.13"/>
    <n v="1"/>
    <x v="2"/>
  </r>
  <r>
    <d v="2022-06-13T00:00:00"/>
    <x v="3"/>
    <s v="North"/>
    <n v="1540.87"/>
    <n v="5"/>
    <x v="3"/>
  </r>
  <r>
    <d v="2023-03-11T00:00:00"/>
    <x v="1"/>
    <s v="West"/>
    <n v="1272.26"/>
    <n v="10"/>
    <x v="4"/>
  </r>
  <r>
    <d v="2022-01-22T00:00:00"/>
    <x v="2"/>
    <s v="East"/>
    <n v="657.5"/>
    <n v="10"/>
    <x v="3"/>
  </r>
  <r>
    <d v="2023-10-16T00:00:00"/>
    <x v="3"/>
    <s v="West"/>
    <n v="913.62"/>
    <n v="5"/>
    <x v="1"/>
  </r>
  <r>
    <d v="2022-09-26T00:00:00"/>
    <x v="2"/>
    <s v="East"/>
    <n v="526.58000000000004"/>
    <n v="7"/>
    <x v="1"/>
  </r>
  <r>
    <d v="2023-11-15T00:00:00"/>
    <x v="2"/>
    <s v="West"/>
    <n v="1454.19"/>
    <n v="3"/>
    <x v="1"/>
  </r>
  <r>
    <d v="2023-09-22T00:00:00"/>
    <x v="3"/>
    <s v="East"/>
    <n v="553.86"/>
    <n v="5"/>
    <x v="3"/>
  </r>
  <r>
    <d v="2023-10-14T00:00:00"/>
    <x v="1"/>
    <s v="South"/>
    <n v="1690.21"/>
    <n v="6"/>
    <x v="3"/>
  </r>
  <r>
    <d v="2022-04-04T00:00:00"/>
    <x v="0"/>
    <s v="South"/>
    <n v="430.52"/>
    <n v="2"/>
    <x v="1"/>
  </r>
  <r>
    <d v="2022-03-09T00:00:00"/>
    <x v="0"/>
    <s v="South"/>
    <n v="646.58000000000004"/>
    <n v="5"/>
    <x v="3"/>
  </r>
  <r>
    <d v="2023-10-19T00:00:00"/>
    <x v="0"/>
    <s v="East"/>
    <n v="1927.97"/>
    <n v="4"/>
    <x v="0"/>
  </r>
  <r>
    <d v="2023-11-04T00:00:00"/>
    <x v="4"/>
    <s v="East"/>
    <n v="1053.46"/>
    <n v="1"/>
    <x v="2"/>
  </r>
  <r>
    <d v="2023-07-16T00:00:00"/>
    <x v="1"/>
    <s v="South"/>
    <n v="1498.59"/>
    <n v="1"/>
    <x v="2"/>
  </r>
  <r>
    <d v="2022-08-31T00:00:00"/>
    <x v="3"/>
    <s v="West"/>
    <n v="1248.28"/>
    <n v="4"/>
    <x v="4"/>
  </r>
  <r>
    <d v="2022-04-03T00:00:00"/>
    <x v="3"/>
    <s v="West"/>
    <n v="485.44"/>
    <n v="1"/>
    <x v="2"/>
  </r>
  <r>
    <d v="2022-11-28T00:00:00"/>
    <x v="2"/>
    <s v="North"/>
    <n v="1718.71"/>
    <n v="9"/>
    <x v="0"/>
  </r>
  <r>
    <d v="2022-08-22T00:00:00"/>
    <x v="1"/>
    <s v="East"/>
    <n v="1189.93"/>
    <n v="2"/>
    <x v="4"/>
  </r>
  <r>
    <d v="2022-08-08T00:00:00"/>
    <x v="0"/>
    <s v="West"/>
    <n v="1962.73"/>
    <n v="2"/>
    <x v="4"/>
  </r>
  <r>
    <d v="2023-11-05T00:00:00"/>
    <x v="4"/>
    <s v="North"/>
    <n v="516.55999999999995"/>
    <n v="1"/>
    <x v="4"/>
  </r>
  <r>
    <d v="2023-09-11T00:00:00"/>
    <x v="1"/>
    <s v="West"/>
    <n v="1101.5899999999999"/>
    <n v="1"/>
    <x v="3"/>
  </r>
  <r>
    <d v="2022-06-29T00:00:00"/>
    <x v="2"/>
    <s v="East"/>
    <n v="559.95000000000005"/>
    <n v="4"/>
    <x v="0"/>
  </r>
  <r>
    <d v="2022-04-23T00:00:00"/>
    <x v="2"/>
    <s v="East"/>
    <n v="345.37"/>
    <n v="8"/>
    <x v="4"/>
  </r>
  <r>
    <d v="2022-01-28T00:00:00"/>
    <x v="2"/>
    <s v="West"/>
    <n v="1006.57"/>
    <n v="1"/>
    <x v="2"/>
  </r>
  <r>
    <d v="2023-10-03T00:00:00"/>
    <x v="4"/>
    <s v="North"/>
    <n v="1089.76"/>
    <n v="1"/>
    <x v="0"/>
  </r>
  <r>
    <d v="2022-03-07T00:00:00"/>
    <x v="4"/>
    <s v="South"/>
    <n v="685.83"/>
    <n v="2"/>
    <x v="3"/>
  </r>
  <r>
    <d v="2023-11-04T00:00:00"/>
    <x v="4"/>
    <s v="West"/>
    <n v="1903.22"/>
    <n v="1"/>
    <x v="0"/>
  </r>
  <r>
    <d v="2022-04-25T00:00:00"/>
    <x v="1"/>
    <s v="North"/>
    <n v="1718.12"/>
    <n v="8"/>
    <x v="3"/>
  </r>
  <r>
    <d v="2022-11-01T00:00:00"/>
    <x v="1"/>
    <s v="South"/>
    <n v="1284.32"/>
    <n v="1"/>
    <x v="3"/>
  </r>
  <r>
    <d v="2023-05-01T00:00:00"/>
    <x v="2"/>
    <s v="South"/>
    <n v="874.52"/>
    <n v="5"/>
    <x v="0"/>
  </r>
  <r>
    <d v="2022-03-17T00:00:00"/>
    <x v="4"/>
    <s v="West"/>
    <n v="586.28"/>
    <n v="9"/>
    <x v="4"/>
  </r>
  <r>
    <d v="2023-08-01T00:00:00"/>
    <x v="2"/>
    <s v="North"/>
    <n v="675.55"/>
    <n v="8"/>
    <x v="4"/>
  </r>
  <r>
    <d v="2022-05-10T00:00:00"/>
    <x v="1"/>
    <s v="South"/>
    <n v="1941.23"/>
    <n v="6"/>
    <x v="0"/>
  </r>
  <r>
    <d v="2022-10-19T00:00:00"/>
    <x v="2"/>
    <s v="North"/>
    <n v="1543.33"/>
    <n v="4"/>
    <x v="3"/>
  </r>
  <r>
    <d v="2023-04-20T00:00:00"/>
    <x v="1"/>
    <s v="East"/>
    <n v="321.19"/>
    <n v="3"/>
    <x v="3"/>
  </r>
  <r>
    <d v="2023-09-14T00:00:00"/>
    <x v="4"/>
    <s v="West"/>
    <n v="979.49"/>
    <n v="1"/>
    <x v="2"/>
  </r>
  <r>
    <d v="2023-09-06T00:00:00"/>
    <x v="3"/>
    <s v="South"/>
    <n v="1319.22"/>
    <n v="7"/>
    <x v="1"/>
  </r>
  <r>
    <d v="2022-03-29T00:00:00"/>
    <x v="4"/>
    <s v="East"/>
    <n v="658.06"/>
    <n v="9"/>
    <x v="1"/>
  </r>
  <r>
    <d v="2023-06-11T00:00:00"/>
    <x v="0"/>
    <s v="North"/>
    <n v="1801.63"/>
    <n v="7"/>
    <x v="1"/>
  </r>
  <r>
    <d v="2022-11-10T00:00:00"/>
    <x v="3"/>
    <s v="North"/>
    <n v="752.06"/>
    <n v="3"/>
    <x v="3"/>
  </r>
  <r>
    <d v="2022-08-22T00:00:00"/>
    <x v="2"/>
    <s v="East"/>
    <n v="363.42"/>
    <n v="3"/>
    <x v="1"/>
  </r>
  <r>
    <d v="2022-05-13T00:00:00"/>
    <x v="4"/>
    <s v="North"/>
    <n v="832.34"/>
    <n v="8"/>
    <x v="0"/>
  </r>
  <r>
    <d v="2023-06-27T00:00:00"/>
    <x v="0"/>
    <s v="North"/>
    <n v="248.2"/>
    <n v="5"/>
    <x v="0"/>
  </r>
  <r>
    <d v="2022-08-05T00:00:00"/>
    <x v="4"/>
    <s v="West"/>
    <n v="1738.87"/>
    <n v="7"/>
    <x v="0"/>
  </r>
  <r>
    <d v="2022-03-10T00:00:00"/>
    <x v="0"/>
    <s v="East"/>
    <n v="1944.97"/>
    <n v="1"/>
    <x v="2"/>
  </r>
  <r>
    <d v="2023-08-19T00:00:00"/>
    <x v="0"/>
    <s v="East"/>
    <n v="1326.05"/>
    <n v="10"/>
    <x v="0"/>
  </r>
  <r>
    <d v="2022-03-19T00:00:00"/>
    <x v="0"/>
    <s v="West"/>
    <n v="1738.02"/>
    <n v="4"/>
    <x v="3"/>
  </r>
  <r>
    <d v="2023-04-20T00:00:00"/>
    <x v="0"/>
    <s v="East"/>
    <n v="887.1"/>
    <n v="2"/>
    <x v="3"/>
  </r>
  <r>
    <d v="2022-01-29T00:00:00"/>
    <x v="4"/>
    <s v="North"/>
    <n v="1465.35"/>
    <n v="3"/>
    <x v="0"/>
  </r>
  <r>
    <d v="2022-04-21T00:00:00"/>
    <x v="2"/>
    <s v="North"/>
    <n v="898.64"/>
    <n v="7"/>
    <x v="0"/>
  </r>
  <r>
    <d v="2023-01-26T00:00:00"/>
    <x v="1"/>
    <s v="North"/>
    <n v="915.73"/>
    <n v="1"/>
    <x v="1"/>
  </r>
  <r>
    <d v="2022-01-04T00:00:00"/>
    <x v="4"/>
    <s v="West"/>
    <n v="1635.66"/>
    <n v="10"/>
    <x v="3"/>
  </r>
  <r>
    <d v="2022-10-28T00:00:00"/>
    <x v="1"/>
    <s v="South"/>
    <n v="206.87"/>
    <n v="9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53A91-5482-4B3F-B6E8-10C175C2EE96}" name="PivotTable6" cacheId="25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H9:I14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 (1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FE017-BA55-48B1-86E2-1DDE0F19DA8B}" name="PivotTable5" cacheId="14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18:F24" firstHeaderRow="1" firstDataRow="1" firstDataCol="1"/>
  <pivotFields count="6">
    <pivotField numFmtId="164" showAll="0"/>
    <pivotField showAll="0"/>
    <pivotField showAll="0"/>
    <pivotField dataField="1"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D89D30-D94A-41B2-ADE4-87AD23E4E290}" name="PivotTable4" cacheId="25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6:C19" firstHeaderRow="0" firstDataRow="1" firstDataCol="1"/>
  <pivotFields count="6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Row" allDrilled="1" subtotalTop="0" showAll="0" dataSourceSort="1" defaultSubtotal="0" defaultAttributeDrillState="1">
      <items count="2">
        <item x="0" e="0"/>
        <item x="1" e="0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4">
    <field x="2"/>
    <field x="1"/>
    <field x="0"/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5" baseField="2" baseItem="0"/>
    <dataField name="Count of Quantity Sold" fld="4" subtotal="count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unt of Quantity Sold"/>
    <pivotHierarchy dragToData="1" caption="Sum of Sales Amount"/>
    <pivotHierarchy dragToData="1" caption="Count of Sales Amount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17"/>
    <rowHierarchyUsage hierarchyUsage="14"/>
    <rowHierarchyUsage hierarchyUsage="11"/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 (1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12A23-A242-480E-9F02-F1EEA4ADEFFC}" name="PivotTable3" cacheId="264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1">
  <location ref="E3:F9" firstHeaderRow="1" firstDataRow="1" firstDataCol="1"/>
  <pivotFields count="3">
    <pivotField axis="axisRow" allDrilled="1" subtotalTop="0" showAll="0" dataSourceSort="1" defaultSubtotal="0" defaultAttributeDrillState="1">
      <items count="5">
        <item x="0" e="0"/>
        <item x="1" e="0"/>
        <item x="2" e="0"/>
        <item x="3" e="0"/>
        <item x="4" e="0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2">
    <field x="0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Quantity Sold" fld="2" subtotal="count" baseField="0" baseItem="0"/>
  </dataFields>
  <formats count="2">
    <format dxfId="0">
      <pivotArea dataOnly="0" labelOnly="1" fieldPosition="0">
        <references count="1">
          <reference field="1" count="1">
            <x v="0"/>
          </reference>
        </references>
      </pivotArea>
    </format>
    <format dxfId="1">
      <pivotArea dataOnly="0" labelOnly="1" fieldPosition="0">
        <references count="1">
          <reference field="1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unt of Quantity Sold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2554E-EF9F-4CA1-8FFA-B7B87C61CD28}" name="PivotTable2" cacheId="261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1">
  <location ref="A3:C6" firstHeaderRow="0" firstDataRow="1" firstDataCol="1"/>
  <pivotFields count="4">
    <pivotField axis="axisRow" allDrilled="1" subtotalTop="0" showAll="0" dataSourceSort="1" defaultSubtotal="0" defaultAttributeDrillState="1">
      <items count="2">
        <item x="0" e="0"/>
        <item x="1" e="0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antity Sold" fld="3" subtotal="count" baseField="0" baseItem="0"/>
    <dataField name="Sum of Sales Amou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Quantity Sold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Trend!$A:$I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AB46E9-7E14-4FE6-94C1-CCA482B91A54}" name="Table1" displayName="Table1" ref="A1:I502" totalsRowCount="1" headerRowDxfId="21" headerRowBorderDxfId="20" tableBorderDxfId="19">
  <autoFilter ref="A1:I501" xr:uid="{ABAB46E9-7E14-4FE6-94C1-CCA482B91A54}">
    <filterColumn colId="8">
      <filters>
        <filter val="2023"/>
      </filters>
    </filterColumn>
  </autoFilter>
  <sortState xmlns:xlrd2="http://schemas.microsoft.com/office/spreadsheetml/2017/richdata2" ref="A2:I500">
    <sortCondition ref="A1:A501"/>
  </sortState>
  <tableColumns count="9">
    <tableColumn id="1" xr3:uid="{894EAC5E-7F77-4CE1-BC6E-2A3D1B21E509}" name="Date" dataDxfId="18" totalsRowDxfId="7"/>
    <tableColumn id="2" xr3:uid="{A5E8D767-0B91-4F0F-8172-B163B36A39F3}" name="Product"/>
    <tableColumn id="3" xr3:uid="{C92FE59B-C468-4B9C-ACA9-3B5074BE4785}" name="Region" totalsRowLabel="Total" totalsRowDxfId="6"/>
    <tableColumn id="4" xr3:uid="{8F6FE367-680F-4155-AC09-07536F108DAA}" name="Sales Amount" totalsRowFunction="custom" totalsRowDxfId="5" totalsRowCellStyle="Currency">
      <totalsRowFormula>SUM(D2:D501)</totalsRowFormula>
    </tableColumn>
    <tableColumn id="5" xr3:uid="{B4DFEE4B-5E5E-4385-8DFC-4864F935BE4B}" name="Quantity Sold"/>
    <tableColumn id="6" xr3:uid="{4A055490-1BC7-4E62-B3BF-0D1C70F5AD58}" name="Salesperson"/>
    <tableColumn id="9" xr3:uid="{8386CC42-2A54-4131-A080-ADA0477E3FB1}" name="month" dataDxfId="16" totalsRowDxfId="4">
      <calculatedColumnFormula>CHOOSE(H2,"January","February","March","April","May","June","July","August","September","October","November","December")</calculatedColumnFormula>
    </tableColumn>
    <tableColumn id="7" xr3:uid="{9B69E7DC-3075-47CF-8351-A974E4C50997}" name="Month2" dataDxfId="15" totalsRowDxfId="3">
      <calculatedColumnFormula>MONTH(Table1[[#This Row],[Date]])</calculatedColumnFormula>
    </tableColumn>
    <tableColumn id="8" xr3:uid="{6C31EEB0-2BC2-4278-BF99-A8304241A335}" name="Year" dataDxfId="17" totalsRowDxfId="2">
      <calculatedColumnFormula>YEAR(Table1[[#This Row],[Date]])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D14047-3343-4195-A1C2-379E7FCD6CCA}" name="Table3" displayName="Table3" ref="A1:G2" totalsRowShown="0">
  <autoFilter ref="A1:G2" xr:uid="{C1D14047-3343-4195-A1C2-379E7FCD6CCA}"/>
  <tableColumns count="7">
    <tableColumn id="1" xr3:uid="{E019C72B-79A1-40E8-9406-BFB4CE6F008D}" name="Average sales " dataDxfId="12">
      <calculatedColumnFormula>AVERAGE(Sales_Trend!A2:A501)</calculatedColumnFormula>
    </tableColumn>
    <tableColumn id="2" xr3:uid="{61977501-F5E2-4E98-AC98-41D6CC000B6A}" name="sales growth" dataDxfId="13">
      <calculatedColumnFormula>(255868-278387)/278387</calculatedColumnFormula>
    </tableColumn>
    <tableColumn id="3" xr3:uid="{6D52D400-81C8-4090-9CBB-C9EF41265D46}" name="Total sales" dataDxfId="14">
      <calculatedColumnFormula>SUM(Sales_Trend!D2:D501)</calculatedColumnFormula>
    </tableColumn>
    <tableColumn id="4" xr3:uid="{CE426C49-F07B-45DF-AF99-159250574793}" name="Units sold" dataDxfId="11">
      <calculatedColumnFormula>GETPIVOTDATA("[Measures].[Count of Quantity Sold 2]",'Insight pivot'!$A$3)</calculatedColumnFormula>
    </tableColumn>
    <tableColumn id="5" xr3:uid="{A3D2D7A7-8367-4AD3-9805-A422D21704C4}" name="Top selling products" dataDxfId="10">
      <calculatedColumnFormula>_xlfn.MAXIFS('Insight pivot'!E4:F8,'Insight pivot'!E4:E8,'Insight pivot'!E5)</calculatedColumnFormula>
    </tableColumn>
    <tableColumn id="6" xr3:uid="{C58BD444-521F-4340-BDE3-7E21B01A9924}" name="sales by salesperson" dataDxfId="9">
      <calculatedColumnFormula>'Insight pivot'!E19</calculatedColumnFormula>
    </tableColumn>
    <tableColumn id="7" xr3:uid="{6E2CE360-D553-44E9-9E0E-13BC1A6CBBF6}" name="sales by region" dataDxfId="8">
      <calculatedColumnFormula>GETPIVOTDATA("[Measures].[Sum of Sales Amount 2]",'Insight pivot'!$H$9,"[Table1].[Region]","[Table1].[Region].&amp;[South]")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  <wetp:taskpane dockstate="right" visibility="0" width="525" row="5">
    <wetp:webextensionref xmlns:r="http://schemas.openxmlformats.org/officeDocument/2006/relationships" r:id="rId2"/>
  </wetp:taskpane>
  <wetp:taskpane dockstate="right" visibility="0" width="525" row="3">
    <wetp:webextensionref xmlns:r="http://schemas.openxmlformats.org/officeDocument/2006/relationships" r:id="rId3"/>
  </wetp:taskpane>
  <wetp:taskpane dockstate="right" visibility="0" width="525" row="6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2CA1B59B-4E92-4FCF-A488-D3CCABF272C7}">
  <we:reference id="7c3929fd-ffc8-4fa9-a64b-25dff355e46d" version="1.0.0.8" store="EXCatalog" storeType="EXCatalog"/>
  <we:alternateReferences>
    <we:reference id="WA200006575" version="1.0.0.8" store="en-US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ED96FB6-C3B2-48C6-BECB-38D8A0C51904}">
  <we:reference id="e504fb41-a92a-4526-b101-542f357b7968" version="5.0.0.3" store="EXCatalog" storeType="EXCatalog"/>
  <we:alternateReferences>
    <we:reference id="WA104381181" version="5.0.0.3" store="en-US" storeType="OMEX"/>
  </we:alternateReferences>
  <we:properties>
    <we:property name="44_1uploadTable" value="&quot;12c4f33c-e67f54c7-c6424b66&quot;"/>
    <we:property name="supplyChainMapLocationsReversegeocodingData" value="&quot;10643981-3d2d872b-e28e09ea&quot;"/>
    <we:property name="abcAnalysisclassificationData" value="&quot;432500ca-7542296e-9b2f7b2c&quot;"/>
  </we:properties>
  <we:bindings>
    <we:binding id="10643981-3d2d872b-e28e09ea" type="matrix" appref="{36CAEC21-E917-446C-9A7C-B3BDC90FAECD}"/>
    <we:binding id="12c4f33c-e67f54c7-c6424b66" type="matrix" appref="{D3BAA01C-BA63-4DDD-8C1E-0D262CFF5F8B}"/>
    <we:binding id="432500ca-7542296e-9b2f7b2c" type="table" appref="{A0A89784-DC5E-4FD8-A8EC-1A8A9022A531}"/>
  </we:bindings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A28BAE06-A371-4FA5-9781-49F821BFC74A}">
  <we:reference id="44446093-b465-4d6c-a6dc-5faf6de98677" version="2.6.1.0" store="EXCatalog" storeType="EXCatalog"/>
  <we:alternateReferences>
    <we:reference id="WA200005271" version="2.6.1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7B2CA5F4-A7C0-4214-8D9A-C5074A408DD3}">
  <we:reference id="e849ddb8-6bbd-4833-bd4b-59030099d63e" version="1.0.0.0" store="EXCatalog" storeType="EXCatalog"/>
  <we:alternateReferences>
    <we:reference id="WA200000113" version="1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2"/>
  <sheetViews>
    <sheetView tabSelected="1" topLeftCell="B2" workbookViewId="0">
      <selection activeCell="K19" sqref="K19"/>
    </sheetView>
  </sheetViews>
  <sheetFormatPr defaultRowHeight="14.5" outlineLevelCol="2" x14ac:dyDescent="0.35"/>
  <cols>
    <col min="1" max="1" width="17.81640625" hidden="1" customWidth="1" outlineLevel="2"/>
    <col min="2" max="2" width="10.54296875" customWidth="1" collapsed="1"/>
    <col min="3" max="3" width="11.08984375" customWidth="1"/>
    <col min="4" max="4" width="16.36328125" style="9" customWidth="1"/>
    <col min="5" max="5" width="14.1796875" customWidth="1"/>
    <col min="6" max="7" width="16.6328125" customWidth="1"/>
    <col min="8" max="8" width="10.08984375" customWidth="1"/>
    <col min="9" max="9" width="12.0898437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8" t="s">
        <v>3</v>
      </c>
      <c r="E1" s="2" t="s">
        <v>4</v>
      </c>
      <c r="F1" s="2" t="s">
        <v>5</v>
      </c>
      <c r="G1" s="2" t="s">
        <v>24</v>
      </c>
      <c r="H1" s="2" t="s">
        <v>25</v>
      </c>
      <c r="I1" s="2" t="s">
        <v>23</v>
      </c>
    </row>
    <row r="2" spans="1:9" x14ac:dyDescent="0.35">
      <c r="A2" s="1">
        <v>44927</v>
      </c>
      <c r="B2" t="s">
        <v>10</v>
      </c>
      <c r="C2" t="s">
        <v>11</v>
      </c>
      <c r="D2" s="9">
        <v>279.10000000000002</v>
      </c>
      <c r="E2">
        <v>3</v>
      </c>
      <c r="F2" t="s">
        <v>18</v>
      </c>
      <c r="G2" t="str">
        <f>CHOOSE(H2,"January","February","March","April","May","June","July","August","September","October","November","December")</f>
        <v>January</v>
      </c>
      <c r="H2">
        <f>MONTH(Table1[[#This Row],[Date]])</f>
        <v>1</v>
      </c>
      <c r="I2">
        <f>YEAR(Table1[[#This Row],[Date]])</f>
        <v>2023</v>
      </c>
    </row>
    <row r="3" spans="1:9" hidden="1" x14ac:dyDescent="0.35">
      <c r="A3" s="1">
        <v>44873</v>
      </c>
      <c r="B3" t="s">
        <v>6</v>
      </c>
      <c r="C3" t="s">
        <v>14</v>
      </c>
      <c r="D3">
        <v>669.66</v>
      </c>
      <c r="E3">
        <v>1</v>
      </c>
      <c r="F3" t="s">
        <v>15</v>
      </c>
      <c r="G3" t="str">
        <f>CHOOSE(H3,"January","February","March","April","May","June","July","August","September","October","November","December")</f>
        <v>November</v>
      </c>
      <c r="H3">
        <f>MONTH(Table1[[#This Row],[Date]])</f>
        <v>11</v>
      </c>
      <c r="I3">
        <f>YEAR(Table1[[#This Row],[Date]])</f>
        <v>2022</v>
      </c>
    </row>
    <row r="4" spans="1:9" x14ac:dyDescent="0.35">
      <c r="A4" s="1">
        <v>44932</v>
      </c>
      <c r="B4" t="s">
        <v>8</v>
      </c>
      <c r="C4" t="s">
        <v>13</v>
      </c>
      <c r="D4" s="9">
        <v>178.4</v>
      </c>
      <c r="E4">
        <v>10</v>
      </c>
      <c r="F4" t="s">
        <v>17</v>
      </c>
      <c r="G4" t="str">
        <f>CHOOSE(H4,"January","February","March","April","May","June","July","August","September","October","November","December")</f>
        <v>January</v>
      </c>
      <c r="H4">
        <f>MONTH(Table1[[#This Row],[Date]])</f>
        <v>1</v>
      </c>
      <c r="I4">
        <f>YEAR(Table1[[#This Row],[Date]])</f>
        <v>2023</v>
      </c>
    </row>
    <row r="5" spans="1:9" x14ac:dyDescent="0.35">
      <c r="A5" s="1">
        <v>44933</v>
      </c>
      <c r="B5" t="s">
        <v>7</v>
      </c>
      <c r="C5" t="s">
        <v>14</v>
      </c>
      <c r="D5" s="9">
        <v>665.95</v>
      </c>
      <c r="E5">
        <v>3</v>
      </c>
      <c r="F5" t="s">
        <v>15</v>
      </c>
      <c r="G5" t="str">
        <f>CHOOSE(H5,"January","February","March","April","May","June","July","August","September","October","November","December")</f>
        <v>January</v>
      </c>
      <c r="H5">
        <f>MONTH(Table1[[#This Row],[Date]])</f>
        <v>1</v>
      </c>
      <c r="I5">
        <f>YEAR(Table1[[#This Row],[Date]])</f>
        <v>2023</v>
      </c>
    </row>
    <row r="6" spans="1:9" x14ac:dyDescent="0.35">
      <c r="A6" s="1">
        <v>44934</v>
      </c>
      <c r="B6" t="s">
        <v>10</v>
      </c>
      <c r="C6" t="s">
        <v>14</v>
      </c>
      <c r="D6" s="9">
        <v>1803.38</v>
      </c>
      <c r="E6">
        <v>7</v>
      </c>
      <c r="F6" t="s">
        <v>17</v>
      </c>
      <c r="G6" t="str">
        <f>CHOOSE(H6,"January","February","March","April","May","June","July","August","September","October","November","December")</f>
        <v>January</v>
      </c>
      <c r="H6">
        <f>MONTH(Table1[[#This Row],[Date]])</f>
        <v>1</v>
      </c>
      <c r="I6">
        <f>YEAR(Table1[[#This Row],[Date]])</f>
        <v>2023</v>
      </c>
    </row>
    <row r="7" spans="1:9" x14ac:dyDescent="0.35">
      <c r="A7" s="1">
        <v>44934</v>
      </c>
      <c r="B7" t="s">
        <v>8</v>
      </c>
      <c r="C7" t="s">
        <v>14</v>
      </c>
      <c r="D7" s="9">
        <v>104.82</v>
      </c>
      <c r="E7">
        <v>7</v>
      </c>
      <c r="F7" t="s">
        <v>17</v>
      </c>
      <c r="G7" t="str">
        <f>CHOOSE(H7,"January","February","March","April","May","June","July","August","September","October","November","December")</f>
        <v>January</v>
      </c>
      <c r="H7">
        <f>MONTH(Table1[[#This Row],[Date]])</f>
        <v>1</v>
      </c>
      <c r="I7">
        <f>YEAR(Table1[[#This Row],[Date]])</f>
        <v>2023</v>
      </c>
    </row>
    <row r="8" spans="1:9" x14ac:dyDescent="0.35">
      <c r="A8" s="1">
        <v>44935</v>
      </c>
      <c r="B8" t="s">
        <v>9</v>
      </c>
      <c r="C8" t="s">
        <v>14</v>
      </c>
      <c r="D8" s="9">
        <v>172.81</v>
      </c>
      <c r="E8">
        <v>2</v>
      </c>
      <c r="F8" t="s">
        <v>18</v>
      </c>
      <c r="G8" t="str">
        <f>CHOOSE(H8,"January","February","March","April","May","June","July","August","September","October","November","December")</f>
        <v>January</v>
      </c>
      <c r="H8">
        <f>MONTH(Table1[[#This Row],[Date]])</f>
        <v>1</v>
      </c>
      <c r="I8">
        <f>YEAR(Table1[[#This Row],[Date]])</f>
        <v>2023</v>
      </c>
    </row>
    <row r="9" spans="1:9" hidden="1" x14ac:dyDescent="0.35">
      <c r="A9" s="1">
        <v>44857</v>
      </c>
      <c r="B9" t="s">
        <v>9</v>
      </c>
      <c r="C9" t="s">
        <v>14</v>
      </c>
      <c r="D9">
        <v>524.08000000000004</v>
      </c>
      <c r="E9">
        <v>1</v>
      </c>
      <c r="F9" t="s">
        <v>18</v>
      </c>
      <c r="G9" t="str">
        <f>CHOOSE(H9,"January","February","March","April","May","June","July","August","September","October","November","December")</f>
        <v>October</v>
      </c>
      <c r="H9">
        <f>MONTH(Table1[[#This Row],[Date]])</f>
        <v>10</v>
      </c>
      <c r="I9">
        <f>YEAR(Table1[[#This Row],[Date]])</f>
        <v>2022</v>
      </c>
    </row>
    <row r="10" spans="1:9" hidden="1" x14ac:dyDescent="0.35">
      <c r="A10" s="1">
        <v>44809</v>
      </c>
      <c r="B10" t="s">
        <v>6</v>
      </c>
      <c r="C10" t="s">
        <v>12</v>
      </c>
      <c r="D10">
        <v>551.62</v>
      </c>
      <c r="E10">
        <v>1</v>
      </c>
      <c r="F10" t="s">
        <v>18</v>
      </c>
      <c r="G10" t="str">
        <f>CHOOSE(H10,"January","February","March","April","May","June","July","August","September","October","November","December")</f>
        <v>September</v>
      </c>
      <c r="H10">
        <f>MONTH(Table1[[#This Row],[Date]])</f>
        <v>9</v>
      </c>
      <c r="I10">
        <f>YEAR(Table1[[#This Row],[Date]])</f>
        <v>2022</v>
      </c>
    </row>
    <row r="11" spans="1:9" hidden="1" x14ac:dyDescent="0.35">
      <c r="A11" s="1">
        <v>44802</v>
      </c>
      <c r="B11" t="s">
        <v>7</v>
      </c>
      <c r="C11" t="s">
        <v>13</v>
      </c>
      <c r="D11">
        <v>1193.5</v>
      </c>
      <c r="E11">
        <v>1</v>
      </c>
      <c r="F11" t="s">
        <v>19</v>
      </c>
      <c r="G11" t="str">
        <f>CHOOSE(H11,"January","February","March","April","May","June","July","August","September","October","November","December")</f>
        <v>August</v>
      </c>
      <c r="H11">
        <f>MONTH(Table1[[#This Row],[Date]])</f>
        <v>8</v>
      </c>
      <c r="I11">
        <f>YEAR(Table1[[#This Row],[Date]])</f>
        <v>2022</v>
      </c>
    </row>
    <row r="12" spans="1:9" hidden="1" x14ac:dyDescent="0.35">
      <c r="A12" s="1">
        <v>44602</v>
      </c>
      <c r="B12" t="s">
        <v>10</v>
      </c>
      <c r="C12" t="s">
        <v>11</v>
      </c>
      <c r="D12">
        <v>1833.21</v>
      </c>
      <c r="E12">
        <v>1</v>
      </c>
      <c r="F12" t="s">
        <v>15</v>
      </c>
      <c r="G12" t="str">
        <f>CHOOSE(H12,"January","February","March","April","May","June","July","August","September","October","November","December")</f>
        <v>February</v>
      </c>
      <c r="H12">
        <f>MONTH(Table1[[#This Row],[Date]])</f>
        <v>2</v>
      </c>
      <c r="I12">
        <f>YEAR(Table1[[#This Row],[Date]])</f>
        <v>2022</v>
      </c>
    </row>
    <row r="13" spans="1:9" hidden="1" x14ac:dyDescent="0.35">
      <c r="A13" s="1">
        <v>44797</v>
      </c>
      <c r="B13" t="s">
        <v>9</v>
      </c>
      <c r="C13" t="s">
        <v>12</v>
      </c>
      <c r="D13">
        <v>1571.03</v>
      </c>
      <c r="E13">
        <v>1</v>
      </c>
      <c r="F13" t="s">
        <v>15</v>
      </c>
      <c r="G13" t="str">
        <f>CHOOSE(H13,"January","February","March","April","May","June","July","August","September","October","November","December")</f>
        <v>August</v>
      </c>
      <c r="H13">
        <f>MONTH(Table1[[#This Row],[Date]])</f>
        <v>8</v>
      </c>
      <c r="I13">
        <f>YEAR(Table1[[#This Row],[Date]])</f>
        <v>2022</v>
      </c>
    </row>
    <row r="14" spans="1:9" x14ac:dyDescent="0.35">
      <c r="A14" s="1">
        <v>44936</v>
      </c>
      <c r="B14" t="s">
        <v>7</v>
      </c>
      <c r="C14" t="s">
        <v>12</v>
      </c>
      <c r="D14" s="9">
        <v>1556.99</v>
      </c>
      <c r="E14">
        <v>8</v>
      </c>
      <c r="F14" t="s">
        <v>19</v>
      </c>
      <c r="G14" t="str">
        <f>CHOOSE(H14,"January","February","March","April","May","June","July","August","September","October","November","December")</f>
        <v>January</v>
      </c>
      <c r="H14">
        <f>MONTH(Table1[[#This Row],[Date]])</f>
        <v>1</v>
      </c>
      <c r="I14">
        <f>YEAR(Table1[[#This Row],[Date]])</f>
        <v>2023</v>
      </c>
    </row>
    <row r="15" spans="1:9" hidden="1" x14ac:dyDescent="0.35">
      <c r="A15" s="1">
        <v>44743</v>
      </c>
      <c r="B15" t="s">
        <v>6</v>
      </c>
      <c r="C15" t="s">
        <v>11</v>
      </c>
      <c r="D15">
        <v>1359.01</v>
      </c>
      <c r="E15">
        <v>1</v>
      </c>
      <c r="F15" t="s">
        <v>19</v>
      </c>
      <c r="G15" t="str">
        <f>CHOOSE(H15,"January","February","March","April","May","June","July","August","September","October","November","December")</f>
        <v>July</v>
      </c>
      <c r="H15">
        <f>MONTH(Table1[[#This Row],[Date]])</f>
        <v>7</v>
      </c>
      <c r="I15">
        <f>YEAR(Table1[[#This Row],[Date]])</f>
        <v>2022</v>
      </c>
    </row>
    <row r="16" spans="1:9" x14ac:dyDescent="0.35">
      <c r="A16" s="1">
        <v>44941</v>
      </c>
      <c r="B16" t="s">
        <v>6</v>
      </c>
      <c r="C16" t="s">
        <v>14</v>
      </c>
      <c r="D16" s="9">
        <v>1495.59</v>
      </c>
      <c r="E16">
        <v>1</v>
      </c>
      <c r="F16" t="s">
        <v>19</v>
      </c>
      <c r="G16" t="str">
        <f>CHOOSE(H16,"January","February","March","April","May","June","July","August","September","October","November","December")</f>
        <v>January</v>
      </c>
      <c r="H16">
        <f>MONTH(Table1[[#This Row],[Date]])</f>
        <v>1</v>
      </c>
      <c r="I16">
        <f>YEAR(Table1[[#This Row],[Date]])</f>
        <v>2023</v>
      </c>
    </row>
    <row r="17" spans="1:9" hidden="1" x14ac:dyDescent="0.35">
      <c r="A17" s="1">
        <v>44575</v>
      </c>
      <c r="B17" t="s">
        <v>7</v>
      </c>
      <c r="C17" t="s">
        <v>11</v>
      </c>
      <c r="D17">
        <v>1728.14</v>
      </c>
      <c r="E17">
        <v>1</v>
      </c>
      <c r="F17" t="s">
        <v>19</v>
      </c>
      <c r="G17" t="str">
        <f>CHOOSE(H17,"January","February","March","April","May","June","July","August","September","October","November","December")</f>
        <v>January</v>
      </c>
      <c r="H17">
        <f>MONTH(Table1[[#This Row],[Date]])</f>
        <v>1</v>
      </c>
      <c r="I17">
        <f>YEAR(Table1[[#This Row],[Date]])</f>
        <v>2022</v>
      </c>
    </row>
    <row r="18" spans="1:9" hidden="1" x14ac:dyDescent="0.35">
      <c r="A18" s="1">
        <v>44819</v>
      </c>
      <c r="B18" t="s">
        <v>9</v>
      </c>
      <c r="C18" t="s">
        <v>13</v>
      </c>
      <c r="D18">
        <v>1262.3399999999999</v>
      </c>
      <c r="E18">
        <v>1</v>
      </c>
      <c r="F18" t="s">
        <v>19</v>
      </c>
      <c r="G18" t="str">
        <f>CHOOSE(H18,"January","February","March","April","May","June","July","August","September","October","November","December")</f>
        <v>September</v>
      </c>
      <c r="H18">
        <f>MONTH(Table1[[#This Row],[Date]])</f>
        <v>9</v>
      </c>
      <c r="I18">
        <f>YEAR(Table1[[#This Row],[Date]])</f>
        <v>2022</v>
      </c>
    </row>
    <row r="19" spans="1:9" x14ac:dyDescent="0.35">
      <c r="A19" s="1">
        <v>44942</v>
      </c>
      <c r="B19" t="s">
        <v>10</v>
      </c>
      <c r="C19" t="s">
        <v>11</v>
      </c>
      <c r="D19" s="9">
        <v>998.9</v>
      </c>
      <c r="E19">
        <v>8</v>
      </c>
      <c r="F19" t="s">
        <v>18</v>
      </c>
      <c r="G19" t="str">
        <f>CHOOSE(H19,"January","February","March","April","May","June","July","August","September","October","November","December")</f>
        <v>January</v>
      </c>
      <c r="H19">
        <f>MONTH(Table1[[#This Row],[Date]])</f>
        <v>1</v>
      </c>
      <c r="I19">
        <f>YEAR(Table1[[#This Row],[Date]])</f>
        <v>2023</v>
      </c>
    </row>
    <row r="20" spans="1:9" x14ac:dyDescent="0.35">
      <c r="A20" s="1">
        <v>44945</v>
      </c>
      <c r="B20" t="s">
        <v>6</v>
      </c>
      <c r="C20" t="s">
        <v>14</v>
      </c>
      <c r="D20" s="9">
        <v>1187.5</v>
      </c>
      <c r="E20">
        <v>6</v>
      </c>
      <c r="F20" t="s">
        <v>15</v>
      </c>
      <c r="G20" t="str">
        <f>CHOOSE(H20,"January","February","March","April","May","June","July","August","September","October","November","December")</f>
        <v>January</v>
      </c>
      <c r="H20">
        <f>MONTH(Table1[[#This Row],[Date]])</f>
        <v>1</v>
      </c>
      <c r="I20">
        <f>YEAR(Table1[[#This Row],[Date]])</f>
        <v>2023</v>
      </c>
    </row>
    <row r="21" spans="1:9" hidden="1" x14ac:dyDescent="0.35">
      <c r="A21" s="1">
        <v>44676</v>
      </c>
      <c r="B21" t="s">
        <v>9</v>
      </c>
      <c r="C21" t="s">
        <v>13</v>
      </c>
      <c r="D21">
        <v>1649.85</v>
      </c>
      <c r="E21">
        <v>1</v>
      </c>
      <c r="F21" t="s">
        <v>16</v>
      </c>
      <c r="G21" t="str">
        <f>CHOOSE(H21,"January","February","March","April","May","June","July","August","September","October","November","December")</f>
        <v>April</v>
      </c>
      <c r="H21">
        <f>MONTH(Table1[[#This Row],[Date]])</f>
        <v>4</v>
      </c>
      <c r="I21">
        <f>YEAR(Table1[[#This Row],[Date]])</f>
        <v>2022</v>
      </c>
    </row>
    <row r="22" spans="1:9" hidden="1" x14ac:dyDescent="0.35">
      <c r="A22" s="1">
        <v>44848</v>
      </c>
      <c r="B22" t="s">
        <v>7</v>
      </c>
      <c r="C22" t="s">
        <v>11</v>
      </c>
      <c r="D22">
        <v>417.07</v>
      </c>
      <c r="E22">
        <v>1</v>
      </c>
      <c r="F22" t="s">
        <v>16</v>
      </c>
      <c r="G22" t="str">
        <f>CHOOSE(H22,"January","February","March","April","May","June","July","August","September","October","November","December")</f>
        <v>October</v>
      </c>
      <c r="H22">
        <f>MONTH(Table1[[#This Row],[Date]])</f>
        <v>10</v>
      </c>
      <c r="I22">
        <f>YEAR(Table1[[#This Row],[Date]])</f>
        <v>2022</v>
      </c>
    </row>
    <row r="23" spans="1:9" x14ac:dyDescent="0.35">
      <c r="A23" s="1">
        <v>44950</v>
      </c>
      <c r="B23" t="s">
        <v>7</v>
      </c>
      <c r="C23" t="s">
        <v>14</v>
      </c>
      <c r="D23" s="9">
        <v>855.1</v>
      </c>
      <c r="E23">
        <v>7</v>
      </c>
      <c r="F23" t="s">
        <v>17</v>
      </c>
      <c r="G23" t="str">
        <f>CHOOSE(H23,"January","February","March","April","May","June","July","August","September","October","November","December")</f>
        <v>January</v>
      </c>
      <c r="H23">
        <f>MONTH(Table1[[#This Row],[Date]])</f>
        <v>1</v>
      </c>
      <c r="I23">
        <f>YEAR(Table1[[#This Row],[Date]])</f>
        <v>2023</v>
      </c>
    </row>
    <row r="24" spans="1:9" x14ac:dyDescent="0.35">
      <c r="A24" s="1">
        <v>44952</v>
      </c>
      <c r="B24" t="s">
        <v>7</v>
      </c>
      <c r="C24" t="s">
        <v>11</v>
      </c>
      <c r="D24" s="9">
        <v>915.73</v>
      </c>
      <c r="E24">
        <v>1</v>
      </c>
      <c r="F24" t="s">
        <v>16</v>
      </c>
      <c r="G24" t="str">
        <f>CHOOSE(H24,"January","February","March","April","May","June","July","August","September","October","November","December")</f>
        <v>January</v>
      </c>
      <c r="H24">
        <f>MONTH(Table1[[#This Row],[Date]])</f>
        <v>1</v>
      </c>
      <c r="I24">
        <f>YEAR(Table1[[#This Row],[Date]])</f>
        <v>2023</v>
      </c>
    </row>
    <row r="25" spans="1:9" hidden="1" x14ac:dyDescent="0.35">
      <c r="A25" s="1">
        <v>44597</v>
      </c>
      <c r="B25" t="s">
        <v>9</v>
      </c>
      <c r="C25" t="s">
        <v>12</v>
      </c>
      <c r="D25">
        <v>711.16</v>
      </c>
      <c r="E25">
        <v>1</v>
      </c>
      <c r="F25" t="s">
        <v>18</v>
      </c>
      <c r="G25" t="str">
        <f>CHOOSE(H25,"January","February","March","April","May","June","July","August","September","October","November","December")</f>
        <v>February</v>
      </c>
      <c r="H25">
        <f>MONTH(Table1[[#This Row],[Date]])</f>
        <v>2</v>
      </c>
      <c r="I25">
        <f>YEAR(Table1[[#This Row],[Date]])</f>
        <v>2022</v>
      </c>
    </row>
    <row r="26" spans="1:9" hidden="1" x14ac:dyDescent="0.35">
      <c r="A26" s="1">
        <v>44629</v>
      </c>
      <c r="B26" t="s">
        <v>8</v>
      </c>
      <c r="C26" t="s">
        <v>14</v>
      </c>
      <c r="D26">
        <v>1024.05</v>
      </c>
      <c r="E26">
        <v>1</v>
      </c>
      <c r="F26" t="s">
        <v>16</v>
      </c>
      <c r="G26" t="str">
        <f>CHOOSE(H26,"January","February","March","April","May","June","July","August","September","October","November","December")</f>
        <v>March</v>
      </c>
      <c r="H26">
        <f>MONTH(Table1[[#This Row],[Date]])</f>
        <v>3</v>
      </c>
      <c r="I26">
        <f>YEAR(Table1[[#This Row],[Date]])</f>
        <v>2022</v>
      </c>
    </row>
    <row r="27" spans="1:9" hidden="1" x14ac:dyDescent="0.35">
      <c r="A27" s="1">
        <v>44909</v>
      </c>
      <c r="B27" t="s">
        <v>9</v>
      </c>
      <c r="C27" t="s">
        <v>12</v>
      </c>
      <c r="D27">
        <v>529.20000000000005</v>
      </c>
      <c r="E27">
        <v>1</v>
      </c>
      <c r="F27" t="s">
        <v>15</v>
      </c>
      <c r="G27" t="str">
        <f>CHOOSE(H27,"January","February","March","April","May","June","July","August","September","October","November","December")</f>
        <v>December</v>
      </c>
      <c r="H27">
        <f>MONTH(Table1[[#This Row],[Date]])</f>
        <v>12</v>
      </c>
      <c r="I27">
        <f>YEAR(Table1[[#This Row],[Date]])</f>
        <v>2022</v>
      </c>
    </row>
    <row r="28" spans="1:9" x14ac:dyDescent="0.35">
      <c r="A28" s="1">
        <v>44952</v>
      </c>
      <c r="B28" t="s">
        <v>9</v>
      </c>
      <c r="C28" t="s">
        <v>12</v>
      </c>
      <c r="D28" s="9">
        <v>793.03</v>
      </c>
      <c r="E28">
        <v>6</v>
      </c>
      <c r="F28" t="s">
        <v>15</v>
      </c>
      <c r="G28" t="str">
        <f>CHOOSE(H28,"January","February","March","April","May","June","July","August","September","October","November","December")</f>
        <v>January</v>
      </c>
      <c r="H28">
        <f>MONTH(Table1[[#This Row],[Date]])</f>
        <v>1</v>
      </c>
      <c r="I28">
        <f>YEAR(Table1[[#This Row],[Date]])</f>
        <v>2023</v>
      </c>
    </row>
    <row r="29" spans="1:9" hidden="1" x14ac:dyDescent="0.35">
      <c r="A29" s="1">
        <v>44572</v>
      </c>
      <c r="B29" t="s">
        <v>7</v>
      </c>
      <c r="C29" t="s">
        <v>13</v>
      </c>
      <c r="D29">
        <v>1290.6600000000001</v>
      </c>
      <c r="E29">
        <v>1</v>
      </c>
      <c r="F29" t="s">
        <v>15</v>
      </c>
      <c r="G29" t="str">
        <f>CHOOSE(H29,"January","February","March","April","May","June","July","August","September","October","November","December")</f>
        <v>January</v>
      </c>
      <c r="H29">
        <f>MONTH(Table1[[#This Row],[Date]])</f>
        <v>1</v>
      </c>
      <c r="I29">
        <f>YEAR(Table1[[#This Row],[Date]])</f>
        <v>2022</v>
      </c>
    </row>
    <row r="30" spans="1:9" hidden="1" x14ac:dyDescent="0.35">
      <c r="A30" s="1">
        <v>44741</v>
      </c>
      <c r="B30" t="s">
        <v>7</v>
      </c>
      <c r="C30" t="s">
        <v>12</v>
      </c>
      <c r="D30">
        <v>431.29</v>
      </c>
      <c r="E30">
        <v>1</v>
      </c>
      <c r="F30" t="s">
        <v>18</v>
      </c>
      <c r="G30" t="str">
        <f>CHOOSE(H30,"January","February","March","April","May","June","July","August","September","October","November","December")</f>
        <v>June</v>
      </c>
      <c r="H30">
        <f>MONTH(Table1[[#This Row],[Date]])</f>
        <v>6</v>
      </c>
      <c r="I30">
        <f>YEAR(Table1[[#This Row],[Date]])</f>
        <v>2022</v>
      </c>
    </row>
    <row r="31" spans="1:9" x14ac:dyDescent="0.35">
      <c r="A31" s="1">
        <v>44954</v>
      </c>
      <c r="B31" t="s">
        <v>10</v>
      </c>
      <c r="C31" t="s">
        <v>12</v>
      </c>
      <c r="D31" s="9">
        <v>820.62</v>
      </c>
      <c r="E31">
        <v>4</v>
      </c>
      <c r="F31" t="s">
        <v>18</v>
      </c>
      <c r="G31" t="str">
        <f>CHOOSE(H31,"January","February","March","April","May","June","July","August","September","October","November","December")</f>
        <v>January</v>
      </c>
      <c r="H31">
        <f>MONTH(Table1[[#This Row],[Date]])</f>
        <v>1</v>
      </c>
      <c r="I31">
        <f>YEAR(Table1[[#This Row],[Date]])</f>
        <v>2023</v>
      </c>
    </row>
    <row r="32" spans="1:9" x14ac:dyDescent="0.35">
      <c r="A32" s="1">
        <v>44961</v>
      </c>
      <c r="B32" t="s">
        <v>9</v>
      </c>
      <c r="C32" t="s">
        <v>12</v>
      </c>
      <c r="D32" s="9">
        <v>1743.66</v>
      </c>
      <c r="E32">
        <v>3</v>
      </c>
      <c r="F32" t="s">
        <v>15</v>
      </c>
      <c r="G32" t="str">
        <f>CHOOSE(H32,"January","February","March","April","May","June","July","August","September","October","November","December")</f>
        <v>February</v>
      </c>
      <c r="H32">
        <f>MONTH(Table1[[#This Row],[Date]])</f>
        <v>2</v>
      </c>
      <c r="I32">
        <f>YEAR(Table1[[#This Row],[Date]])</f>
        <v>2023</v>
      </c>
    </row>
    <row r="33" spans="1:9" x14ac:dyDescent="0.35">
      <c r="A33" s="1">
        <v>44962</v>
      </c>
      <c r="B33" t="s">
        <v>10</v>
      </c>
      <c r="C33" t="s">
        <v>12</v>
      </c>
      <c r="D33" s="9">
        <v>1628.84</v>
      </c>
      <c r="E33">
        <v>4</v>
      </c>
      <c r="F33" t="s">
        <v>16</v>
      </c>
      <c r="G33" t="str">
        <f>CHOOSE(H33,"January","February","March","April","May","June","July","August","September","October","November","December")</f>
        <v>February</v>
      </c>
      <c r="H33">
        <f>MONTH(Table1[[#This Row],[Date]])</f>
        <v>2</v>
      </c>
      <c r="I33">
        <f>YEAR(Table1[[#This Row],[Date]])</f>
        <v>2023</v>
      </c>
    </row>
    <row r="34" spans="1:9" hidden="1" x14ac:dyDescent="0.35">
      <c r="A34" s="1">
        <v>44833</v>
      </c>
      <c r="B34" t="s">
        <v>7</v>
      </c>
      <c r="C34" t="s">
        <v>11</v>
      </c>
      <c r="D34">
        <v>246.83</v>
      </c>
      <c r="E34">
        <v>1</v>
      </c>
      <c r="F34" t="s">
        <v>15</v>
      </c>
      <c r="G34" t="str">
        <f>CHOOSE(H34,"January","February","March","April","May","June","July","August","September","October","November","December")</f>
        <v>September</v>
      </c>
      <c r="H34">
        <f>MONTH(Table1[[#This Row],[Date]])</f>
        <v>9</v>
      </c>
      <c r="I34">
        <f>YEAR(Table1[[#This Row],[Date]])</f>
        <v>2022</v>
      </c>
    </row>
    <row r="35" spans="1:9" x14ac:dyDescent="0.35">
      <c r="A35" s="1">
        <v>44965</v>
      </c>
      <c r="B35" t="s">
        <v>10</v>
      </c>
      <c r="C35" t="s">
        <v>13</v>
      </c>
      <c r="D35" s="9">
        <v>557.14</v>
      </c>
      <c r="E35">
        <v>9</v>
      </c>
      <c r="F35" t="s">
        <v>18</v>
      </c>
      <c r="G35" t="str">
        <f>CHOOSE(H35,"January","February","March","April","May","June","July","August","September","October","November","December")</f>
        <v>February</v>
      </c>
      <c r="H35">
        <f>MONTH(Table1[[#This Row],[Date]])</f>
        <v>2</v>
      </c>
      <c r="I35">
        <f>YEAR(Table1[[#This Row],[Date]])</f>
        <v>2023</v>
      </c>
    </row>
    <row r="36" spans="1:9" hidden="1" x14ac:dyDescent="0.35">
      <c r="A36" s="1">
        <v>44650</v>
      </c>
      <c r="B36" t="s">
        <v>8</v>
      </c>
      <c r="C36" t="s">
        <v>11</v>
      </c>
      <c r="D36">
        <v>118.04</v>
      </c>
      <c r="E36">
        <v>1</v>
      </c>
      <c r="F36" t="s">
        <v>15</v>
      </c>
      <c r="G36" t="str">
        <f>CHOOSE(H36,"January","February","March","April","May","June","July","August","September","October","November","December")</f>
        <v>March</v>
      </c>
      <c r="H36">
        <f>MONTH(Table1[[#This Row],[Date]])</f>
        <v>3</v>
      </c>
      <c r="I36">
        <f>YEAR(Table1[[#This Row],[Date]])</f>
        <v>2022</v>
      </c>
    </row>
    <row r="37" spans="1:9" hidden="1" x14ac:dyDescent="0.35">
      <c r="A37" s="1">
        <v>44812</v>
      </c>
      <c r="B37" t="s">
        <v>9</v>
      </c>
      <c r="C37" t="s">
        <v>14</v>
      </c>
      <c r="D37">
        <v>202.76</v>
      </c>
      <c r="E37">
        <v>1</v>
      </c>
      <c r="F37" t="s">
        <v>19</v>
      </c>
      <c r="G37" t="str">
        <f>CHOOSE(H37,"January","February","March","April","May","June","July","August","September","October","November","December")</f>
        <v>September</v>
      </c>
      <c r="H37">
        <f>MONTH(Table1[[#This Row],[Date]])</f>
        <v>9</v>
      </c>
      <c r="I37">
        <f>YEAR(Table1[[#This Row],[Date]])</f>
        <v>2022</v>
      </c>
    </row>
    <row r="38" spans="1:9" hidden="1" x14ac:dyDescent="0.35">
      <c r="A38" s="1">
        <v>44877</v>
      </c>
      <c r="B38" t="s">
        <v>6</v>
      </c>
      <c r="C38" t="s">
        <v>12</v>
      </c>
      <c r="D38">
        <v>1852.65</v>
      </c>
      <c r="E38">
        <v>1</v>
      </c>
      <c r="F38" t="s">
        <v>17</v>
      </c>
      <c r="G38" t="str">
        <f>CHOOSE(H38,"January","February","March","April","May","June","July","August","September","October","November","December")</f>
        <v>November</v>
      </c>
      <c r="H38">
        <f>MONTH(Table1[[#This Row],[Date]])</f>
        <v>11</v>
      </c>
      <c r="I38">
        <f>YEAR(Table1[[#This Row],[Date]])</f>
        <v>2022</v>
      </c>
    </row>
    <row r="39" spans="1:9" hidden="1" x14ac:dyDescent="0.35">
      <c r="A39" s="1">
        <v>44651</v>
      </c>
      <c r="B39" t="s">
        <v>10</v>
      </c>
      <c r="C39" t="s">
        <v>12</v>
      </c>
      <c r="D39">
        <v>811.24</v>
      </c>
      <c r="E39">
        <v>1</v>
      </c>
      <c r="F39" t="s">
        <v>17</v>
      </c>
      <c r="G39" t="str">
        <f>CHOOSE(H39,"January","February","March","April","May","June","July","August","September","October","November","December")</f>
        <v>March</v>
      </c>
      <c r="H39">
        <f>MONTH(Table1[[#This Row],[Date]])</f>
        <v>3</v>
      </c>
      <c r="I39">
        <f>YEAR(Table1[[#This Row],[Date]])</f>
        <v>2022</v>
      </c>
    </row>
    <row r="40" spans="1:9" hidden="1" x14ac:dyDescent="0.35">
      <c r="A40" s="1">
        <v>44642</v>
      </c>
      <c r="B40" t="s">
        <v>10</v>
      </c>
      <c r="C40" t="s">
        <v>13</v>
      </c>
      <c r="D40">
        <v>143.66999999999999</v>
      </c>
      <c r="E40">
        <v>1</v>
      </c>
      <c r="F40" t="s">
        <v>17</v>
      </c>
      <c r="G40" t="str">
        <f>CHOOSE(H40,"January","February","March","April","May","June","July","August","September","October","November","December")</f>
        <v>March</v>
      </c>
      <c r="H40">
        <f>MONTH(Table1[[#This Row],[Date]])</f>
        <v>3</v>
      </c>
      <c r="I40">
        <f>YEAR(Table1[[#This Row],[Date]])</f>
        <v>2022</v>
      </c>
    </row>
    <row r="41" spans="1:9" x14ac:dyDescent="0.35">
      <c r="A41" s="1">
        <v>44966</v>
      </c>
      <c r="B41" t="s">
        <v>6</v>
      </c>
      <c r="C41" t="s">
        <v>11</v>
      </c>
      <c r="D41" s="9">
        <v>781.44</v>
      </c>
      <c r="E41">
        <v>4</v>
      </c>
      <c r="F41" t="s">
        <v>18</v>
      </c>
      <c r="G41" t="str">
        <f>CHOOSE(H41,"January","February","March","April","May","June","July","August","September","October","November","December")</f>
        <v>February</v>
      </c>
      <c r="H41">
        <f>MONTH(Table1[[#This Row],[Date]])</f>
        <v>2</v>
      </c>
      <c r="I41">
        <f>YEAR(Table1[[#This Row],[Date]])</f>
        <v>2023</v>
      </c>
    </row>
    <row r="42" spans="1:9" x14ac:dyDescent="0.35">
      <c r="A42" s="1">
        <v>44966</v>
      </c>
      <c r="B42" t="s">
        <v>8</v>
      </c>
      <c r="C42" t="s">
        <v>12</v>
      </c>
      <c r="D42" s="9">
        <v>700.33</v>
      </c>
      <c r="E42">
        <v>6</v>
      </c>
      <c r="F42" t="s">
        <v>16</v>
      </c>
      <c r="G42" t="str">
        <f>CHOOSE(H42,"January","February","March","April","May","June","July","August","September","October","November","December")</f>
        <v>February</v>
      </c>
      <c r="H42">
        <f>MONTH(Table1[[#This Row],[Date]])</f>
        <v>2</v>
      </c>
      <c r="I42">
        <f>YEAR(Table1[[#This Row],[Date]])</f>
        <v>2023</v>
      </c>
    </row>
    <row r="43" spans="1:9" hidden="1" x14ac:dyDescent="0.35">
      <c r="A43" s="1">
        <v>44655</v>
      </c>
      <c r="B43" t="s">
        <v>8</v>
      </c>
      <c r="C43" t="s">
        <v>13</v>
      </c>
      <c r="D43">
        <v>1276.5899999999999</v>
      </c>
      <c r="E43">
        <v>1</v>
      </c>
      <c r="F43" t="s">
        <v>19</v>
      </c>
      <c r="G43" t="str">
        <f>CHOOSE(H43,"January","February","March","April","May","June","July","August","September","October","November","December")</f>
        <v>April</v>
      </c>
      <c r="H43">
        <f>MONTH(Table1[[#This Row],[Date]])</f>
        <v>4</v>
      </c>
      <c r="I43">
        <f>YEAR(Table1[[#This Row],[Date]])</f>
        <v>2022</v>
      </c>
    </row>
    <row r="44" spans="1:9" hidden="1" x14ac:dyDescent="0.35">
      <c r="A44" s="1">
        <v>44602</v>
      </c>
      <c r="B44" t="s">
        <v>7</v>
      </c>
      <c r="C44" t="s">
        <v>13</v>
      </c>
      <c r="D44">
        <v>160.27000000000001</v>
      </c>
      <c r="E44">
        <v>1</v>
      </c>
      <c r="F44" t="s">
        <v>17</v>
      </c>
      <c r="G44" t="str">
        <f>CHOOSE(H44,"January","February","March","April","May","June","July","August","September","October","November","December")</f>
        <v>February</v>
      </c>
      <c r="H44">
        <f>MONTH(Table1[[#This Row],[Date]])</f>
        <v>2</v>
      </c>
      <c r="I44">
        <f>YEAR(Table1[[#This Row],[Date]])</f>
        <v>2022</v>
      </c>
    </row>
    <row r="45" spans="1:9" x14ac:dyDescent="0.35">
      <c r="A45" s="1">
        <v>44967</v>
      </c>
      <c r="B45" t="s">
        <v>10</v>
      </c>
      <c r="C45" t="s">
        <v>13</v>
      </c>
      <c r="D45" s="9">
        <v>1922.48</v>
      </c>
      <c r="E45">
        <v>7</v>
      </c>
      <c r="F45" t="s">
        <v>19</v>
      </c>
      <c r="G45" t="str">
        <f>CHOOSE(H45,"January","February","March","April","May","June","July","August","September","October","November","December")</f>
        <v>February</v>
      </c>
      <c r="H45">
        <f>MONTH(Table1[[#This Row],[Date]])</f>
        <v>2</v>
      </c>
      <c r="I45">
        <f>YEAR(Table1[[#This Row],[Date]])</f>
        <v>2023</v>
      </c>
    </row>
    <row r="46" spans="1:9" hidden="1" x14ac:dyDescent="0.35">
      <c r="A46" s="1">
        <v>44809</v>
      </c>
      <c r="B46" t="s">
        <v>8</v>
      </c>
      <c r="C46" t="s">
        <v>13</v>
      </c>
      <c r="D46">
        <v>1587.32</v>
      </c>
      <c r="E46">
        <v>1</v>
      </c>
      <c r="F46" t="s">
        <v>17</v>
      </c>
      <c r="G46" t="str">
        <f>CHOOSE(H46,"January","February","March","April","May","June","July","August","September","October","November","December")</f>
        <v>September</v>
      </c>
      <c r="H46">
        <f>MONTH(Table1[[#This Row],[Date]])</f>
        <v>9</v>
      </c>
      <c r="I46">
        <f>YEAR(Table1[[#This Row],[Date]])</f>
        <v>2022</v>
      </c>
    </row>
    <row r="47" spans="1:9" hidden="1" x14ac:dyDescent="0.35">
      <c r="A47" s="1">
        <v>44731</v>
      </c>
      <c r="B47" t="s">
        <v>8</v>
      </c>
      <c r="C47" t="s">
        <v>11</v>
      </c>
      <c r="D47">
        <v>605.13</v>
      </c>
      <c r="E47">
        <v>1</v>
      </c>
      <c r="F47" t="s">
        <v>17</v>
      </c>
      <c r="G47" t="str">
        <f>CHOOSE(H47,"January","February","March","April","May","June","July","August","September","October","November","December")</f>
        <v>June</v>
      </c>
      <c r="H47">
        <f>MONTH(Table1[[#This Row],[Date]])</f>
        <v>6</v>
      </c>
      <c r="I47">
        <f>YEAR(Table1[[#This Row],[Date]])</f>
        <v>2022</v>
      </c>
    </row>
    <row r="48" spans="1:9" x14ac:dyDescent="0.35">
      <c r="A48" s="1">
        <v>44968</v>
      </c>
      <c r="B48" t="s">
        <v>9</v>
      </c>
      <c r="C48" t="s">
        <v>13</v>
      </c>
      <c r="D48" s="9">
        <v>840.71</v>
      </c>
      <c r="E48">
        <v>8</v>
      </c>
      <c r="F48" t="s">
        <v>19</v>
      </c>
      <c r="G48" t="str">
        <f>CHOOSE(H48,"January","February","March","April","May","June","July","August","September","October","November","December")</f>
        <v>February</v>
      </c>
      <c r="H48">
        <f>MONTH(Table1[[#This Row],[Date]])</f>
        <v>2</v>
      </c>
      <c r="I48">
        <f>YEAR(Table1[[#This Row],[Date]])</f>
        <v>2023</v>
      </c>
    </row>
    <row r="49" spans="1:9" x14ac:dyDescent="0.35">
      <c r="A49" s="1">
        <v>44972</v>
      </c>
      <c r="B49" t="s">
        <v>10</v>
      </c>
      <c r="C49" t="s">
        <v>12</v>
      </c>
      <c r="D49" s="9">
        <v>572.36</v>
      </c>
      <c r="E49">
        <v>10</v>
      </c>
      <c r="F49" t="s">
        <v>16</v>
      </c>
      <c r="G49" t="str">
        <f>CHOOSE(H49,"January","February","March","April","May","June","July","August","September","October","November","December")</f>
        <v>February</v>
      </c>
      <c r="H49">
        <f>MONTH(Table1[[#This Row],[Date]])</f>
        <v>2</v>
      </c>
      <c r="I49">
        <f>YEAR(Table1[[#This Row],[Date]])</f>
        <v>2023</v>
      </c>
    </row>
    <row r="50" spans="1:9" hidden="1" x14ac:dyDescent="0.35">
      <c r="A50" s="1">
        <v>44654</v>
      </c>
      <c r="B50" t="s">
        <v>9</v>
      </c>
      <c r="C50" t="s">
        <v>13</v>
      </c>
      <c r="D50">
        <v>485.44</v>
      </c>
      <c r="E50">
        <v>1</v>
      </c>
      <c r="F50" t="s">
        <v>17</v>
      </c>
      <c r="G50" t="str">
        <f>CHOOSE(H50,"January","February","March","April","May","June","July","August","September","October","November","December")</f>
        <v>April</v>
      </c>
      <c r="H50">
        <f>MONTH(Table1[[#This Row],[Date]])</f>
        <v>4</v>
      </c>
      <c r="I50">
        <f>YEAR(Table1[[#This Row],[Date]])</f>
        <v>2022</v>
      </c>
    </row>
    <row r="51" spans="1:9" x14ac:dyDescent="0.35">
      <c r="A51" s="1">
        <v>44975</v>
      </c>
      <c r="B51" t="s">
        <v>6</v>
      </c>
      <c r="C51" t="s">
        <v>11</v>
      </c>
      <c r="D51" s="9">
        <v>1894.83</v>
      </c>
      <c r="E51">
        <v>7</v>
      </c>
      <c r="F51" t="s">
        <v>17</v>
      </c>
      <c r="G51" t="str">
        <f>CHOOSE(H51,"January","February","March","April","May","June","July","August","September","October","November","December")</f>
        <v>February</v>
      </c>
      <c r="H51">
        <f>MONTH(Table1[[#This Row],[Date]])</f>
        <v>2</v>
      </c>
      <c r="I51">
        <f>YEAR(Table1[[#This Row],[Date]])</f>
        <v>2023</v>
      </c>
    </row>
    <row r="52" spans="1:9" x14ac:dyDescent="0.35">
      <c r="A52" s="1">
        <v>44976</v>
      </c>
      <c r="B52" t="s">
        <v>9</v>
      </c>
      <c r="C52" t="s">
        <v>11</v>
      </c>
      <c r="D52" s="9">
        <v>629.5</v>
      </c>
      <c r="E52">
        <v>10</v>
      </c>
      <c r="F52" t="s">
        <v>17</v>
      </c>
      <c r="G52" t="str">
        <f>CHOOSE(H52,"January","February","March","April","May","June","July","August","September","October","November","December")</f>
        <v>February</v>
      </c>
      <c r="H52">
        <f>MONTH(Table1[[#This Row],[Date]])</f>
        <v>2</v>
      </c>
      <c r="I52">
        <f>YEAR(Table1[[#This Row],[Date]])</f>
        <v>2023</v>
      </c>
    </row>
    <row r="53" spans="1:9" hidden="1" x14ac:dyDescent="0.35">
      <c r="A53" s="1">
        <v>44589</v>
      </c>
      <c r="B53" t="s">
        <v>8</v>
      </c>
      <c r="C53" t="s">
        <v>13</v>
      </c>
      <c r="D53">
        <v>1006.57</v>
      </c>
      <c r="E53">
        <v>1</v>
      </c>
      <c r="F53" t="s">
        <v>17</v>
      </c>
      <c r="G53" t="str">
        <f>CHOOSE(H53,"January","February","March","April","May","June","July","August","September","October","November","December")</f>
        <v>January</v>
      </c>
      <c r="H53">
        <f>MONTH(Table1[[#This Row],[Date]])</f>
        <v>1</v>
      </c>
      <c r="I53">
        <f>YEAR(Table1[[#This Row],[Date]])</f>
        <v>2022</v>
      </c>
    </row>
    <row r="54" spans="1:9" x14ac:dyDescent="0.35">
      <c r="A54" s="1">
        <v>44977</v>
      </c>
      <c r="B54" t="s">
        <v>10</v>
      </c>
      <c r="C54" t="s">
        <v>11</v>
      </c>
      <c r="D54" s="9">
        <v>1346.04</v>
      </c>
      <c r="E54">
        <v>6</v>
      </c>
      <c r="F54" t="s">
        <v>16</v>
      </c>
      <c r="G54" t="str">
        <f>CHOOSE(H54,"January","February","March","April","May","June","July","August","September","October","November","December")</f>
        <v>February</v>
      </c>
      <c r="H54">
        <f>MONTH(Table1[[#This Row],[Date]])</f>
        <v>2</v>
      </c>
      <c r="I54">
        <f>YEAR(Table1[[#This Row],[Date]])</f>
        <v>2023</v>
      </c>
    </row>
    <row r="55" spans="1:9" x14ac:dyDescent="0.35">
      <c r="A55" s="1">
        <v>44978</v>
      </c>
      <c r="B55" t="s">
        <v>9</v>
      </c>
      <c r="C55" t="s">
        <v>14</v>
      </c>
      <c r="D55" s="9">
        <v>512.20000000000005</v>
      </c>
      <c r="E55">
        <v>2</v>
      </c>
      <c r="F55" t="s">
        <v>17</v>
      </c>
      <c r="G55" t="str">
        <f>CHOOSE(H55,"January","February","March","April","May","June","July","August","September","October","November","December")</f>
        <v>February</v>
      </c>
      <c r="H55">
        <f>MONTH(Table1[[#This Row],[Date]])</f>
        <v>2</v>
      </c>
      <c r="I55">
        <f>YEAR(Table1[[#This Row],[Date]])</f>
        <v>2023</v>
      </c>
    </row>
    <row r="56" spans="1:9" hidden="1" x14ac:dyDescent="0.35">
      <c r="A56" s="1">
        <v>44866</v>
      </c>
      <c r="B56" t="s">
        <v>7</v>
      </c>
      <c r="C56" t="s">
        <v>14</v>
      </c>
      <c r="D56">
        <v>1284.32</v>
      </c>
      <c r="E56">
        <v>1</v>
      </c>
      <c r="F56" t="s">
        <v>18</v>
      </c>
      <c r="G56" t="str">
        <f>CHOOSE(H56,"January","February","March","April","May","June","July","August","September","October","November","December")</f>
        <v>November</v>
      </c>
      <c r="H56">
        <f>MONTH(Table1[[#This Row],[Date]])</f>
        <v>11</v>
      </c>
      <c r="I56">
        <f>YEAR(Table1[[#This Row],[Date]])</f>
        <v>2022</v>
      </c>
    </row>
    <row r="57" spans="1:9" x14ac:dyDescent="0.35">
      <c r="A57" s="1">
        <v>44979</v>
      </c>
      <c r="B57" t="s">
        <v>6</v>
      </c>
      <c r="C57" t="s">
        <v>14</v>
      </c>
      <c r="D57" s="9">
        <v>722.69</v>
      </c>
      <c r="E57">
        <v>2</v>
      </c>
      <c r="F57" t="s">
        <v>18</v>
      </c>
      <c r="G57" t="str">
        <f>CHOOSE(H57,"January","February","March","April","May","June","July","August","September","October","November","December")</f>
        <v>February</v>
      </c>
      <c r="H57">
        <f>MONTH(Table1[[#This Row],[Date]])</f>
        <v>2</v>
      </c>
      <c r="I57">
        <f>YEAR(Table1[[#This Row],[Date]])</f>
        <v>2023</v>
      </c>
    </row>
    <row r="58" spans="1:9" hidden="1" x14ac:dyDescent="0.35">
      <c r="A58" s="1">
        <v>44630</v>
      </c>
      <c r="B58" t="s">
        <v>6</v>
      </c>
      <c r="C58" t="s">
        <v>12</v>
      </c>
      <c r="D58">
        <v>1944.97</v>
      </c>
      <c r="E58">
        <v>1</v>
      </c>
      <c r="F58" t="s">
        <v>17</v>
      </c>
      <c r="G58" t="str">
        <f>CHOOSE(H58,"January","February","March","April","May","June","July","August","September","October","November","December")</f>
        <v>March</v>
      </c>
      <c r="H58">
        <f>MONTH(Table1[[#This Row],[Date]])</f>
        <v>3</v>
      </c>
      <c r="I58">
        <f>YEAR(Table1[[#This Row],[Date]])</f>
        <v>2022</v>
      </c>
    </row>
    <row r="59" spans="1:9" x14ac:dyDescent="0.35">
      <c r="A59" s="1">
        <v>44980</v>
      </c>
      <c r="B59" t="s">
        <v>9</v>
      </c>
      <c r="C59" t="s">
        <v>13</v>
      </c>
      <c r="D59" s="9">
        <v>1553.97</v>
      </c>
      <c r="E59">
        <v>7</v>
      </c>
      <c r="F59" t="s">
        <v>17</v>
      </c>
      <c r="G59" t="str">
        <f>CHOOSE(H59,"January","February","March","April","May","June","July","August","September","October","November","December")</f>
        <v>February</v>
      </c>
      <c r="H59">
        <f>MONTH(Table1[[#This Row],[Date]])</f>
        <v>2</v>
      </c>
      <c r="I59">
        <f>YEAR(Table1[[#This Row],[Date]])</f>
        <v>2023</v>
      </c>
    </row>
    <row r="60" spans="1:9" hidden="1" x14ac:dyDescent="0.35">
      <c r="A60" s="1">
        <v>44728</v>
      </c>
      <c r="B60" t="s">
        <v>6</v>
      </c>
      <c r="C60" t="s">
        <v>13</v>
      </c>
      <c r="D60">
        <v>305.58999999999997</v>
      </c>
      <c r="E60">
        <v>2</v>
      </c>
      <c r="F60" t="s">
        <v>18</v>
      </c>
      <c r="G60" t="str">
        <f>CHOOSE(H60,"January","February","March","April","May","June","July","August","September","October","November","December")</f>
        <v>June</v>
      </c>
      <c r="H60">
        <f>MONTH(Table1[[#This Row],[Date]])</f>
        <v>6</v>
      </c>
      <c r="I60">
        <f>YEAR(Table1[[#This Row],[Date]])</f>
        <v>2022</v>
      </c>
    </row>
    <row r="61" spans="1:9" x14ac:dyDescent="0.35">
      <c r="A61" s="1">
        <v>44984</v>
      </c>
      <c r="B61" t="s">
        <v>8</v>
      </c>
      <c r="C61" t="s">
        <v>14</v>
      </c>
      <c r="D61" s="9">
        <v>1819.37</v>
      </c>
      <c r="E61">
        <v>3</v>
      </c>
      <c r="F61" t="s">
        <v>19</v>
      </c>
      <c r="G61" t="str">
        <f>CHOOSE(H61,"January","February","March","April","May","June","July","August","September","October","November","December")</f>
        <v>February</v>
      </c>
      <c r="H61">
        <f>MONTH(Table1[[#This Row],[Date]])</f>
        <v>2</v>
      </c>
      <c r="I61">
        <f>YEAR(Table1[[#This Row],[Date]])</f>
        <v>2023</v>
      </c>
    </row>
    <row r="62" spans="1:9" x14ac:dyDescent="0.35">
      <c r="A62" s="1">
        <v>44986</v>
      </c>
      <c r="B62" t="s">
        <v>7</v>
      </c>
      <c r="C62" t="s">
        <v>14</v>
      </c>
      <c r="D62" s="9">
        <v>1059.68</v>
      </c>
      <c r="E62">
        <v>8</v>
      </c>
      <c r="F62" t="s">
        <v>16</v>
      </c>
      <c r="G62" t="str">
        <f>CHOOSE(H62,"January","February","March","April","May","June","July","August","September","October","November","December")</f>
        <v>March</v>
      </c>
      <c r="H62">
        <f>MONTH(Table1[[#This Row],[Date]])</f>
        <v>3</v>
      </c>
      <c r="I62">
        <f>YEAR(Table1[[#This Row],[Date]])</f>
        <v>2023</v>
      </c>
    </row>
    <row r="63" spans="1:9" hidden="1" x14ac:dyDescent="0.35">
      <c r="A63" s="1">
        <v>44574</v>
      </c>
      <c r="B63" t="s">
        <v>7</v>
      </c>
      <c r="C63" t="s">
        <v>12</v>
      </c>
      <c r="D63">
        <v>1369.48</v>
      </c>
      <c r="E63">
        <v>2</v>
      </c>
      <c r="F63" t="s">
        <v>15</v>
      </c>
      <c r="G63" t="str">
        <f>CHOOSE(H63,"January","February","March","April","May","June","July","August","September","October","November","December")</f>
        <v>January</v>
      </c>
      <c r="H63">
        <f>MONTH(Table1[[#This Row],[Date]])</f>
        <v>1</v>
      </c>
      <c r="I63">
        <f>YEAR(Table1[[#This Row],[Date]])</f>
        <v>2022</v>
      </c>
    </row>
    <row r="64" spans="1:9" x14ac:dyDescent="0.35">
      <c r="A64" s="1">
        <v>44986</v>
      </c>
      <c r="B64" t="s">
        <v>9</v>
      </c>
      <c r="C64" t="s">
        <v>14</v>
      </c>
      <c r="D64" s="9">
        <v>450.21</v>
      </c>
      <c r="E64">
        <v>6</v>
      </c>
      <c r="F64" t="s">
        <v>18</v>
      </c>
      <c r="G64" t="str">
        <f>CHOOSE(H64,"January","February","March","April","May","June","July","August","September","October","November","December")</f>
        <v>March</v>
      </c>
      <c r="H64">
        <f>MONTH(Table1[[#This Row],[Date]])</f>
        <v>3</v>
      </c>
      <c r="I64">
        <f>YEAR(Table1[[#This Row],[Date]])</f>
        <v>2023</v>
      </c>
    </row>
    <row r="65" spans="1:9" x14ac:dyDescent="0.35">
      <c r="A65" s="1">
        <v>44990</v>
      </c>
      <c r="B65" t="s">
        <v>6</v>
      </c>
      <c r="C65" t="s">
        <v>14</v>
      </c>
      <c r="D65" s="9">
        <v>841.8</v>
      </c>
      <c r="E65">
        <v>1</v>
      </c>
      <c r="F65" t="s">
        <v>15</v>
      </c>
      <c r="G65" t="str">
        <f>CHOOSE(H65,"January","February","March","April","May","June","July","August","September","October","November","December")</f>
        <v>March</v>
      </c>
      <c r="H65">
        <f>MONTH(Table1[[#This Row],[Date]])</f>
        <v>3</v>
      </c>
      <c r="I65">
        <f>YEAR(Table1[[#This Row],[Date]])</f>
        <v>2023</v>
      </c>
    </row>
    <row r="66" spans="1:9" x14ac:dyDescent="0.35">
      <c r="A66" s="1">
        <v>44991</v>
      </c>
      <c r="B66" t="s">
        <v>7</v>
      </c>
      <c r="C66" t="s">
        <v>12</v>
      </c>
      <c r="D66" s="9">
        <v>480.43</v>
      </c>
      <c r="E66">
        <v>1</v>
      </c>
      <c r="F66" t="s">
        <v>17</v>
      </c>
      <c r="G66" t="str">
        <f>CHOOSE(H66,"January","February","March","April","May","June","July","August","September","October","November","December")</f>
        <v>March</v>
      </c>
      <c r="H66">
        <f>MONTH(Table1[[#This Row],[Date]])</f>
        <v>3</v>
      </c>
      <c r="I66">
        <f>YEAR(Table1[[#This Row],[Date]])</f>
        <v>2023</v>
      </c>
    </row>
    <row r="67" spans="1:9" x14ac:dyDescent="0.35">
      <c r="A67" s="1">
        <v>44996</v>
      </c>
      <c r="B67" t="s">
        <v>7</v>
      </c>
      <c r="C67" t="s">
        <v>13</v>
      </c>
      <c r="D67" s="9">
        <v>1272.26</v>
      </c>
      <c r="E67">
        <v>10</v>
      </c>
      <c r="F67" t="s">
        <v>19</v>
      </c>
      <c r="G67" t="str">
        <f>CHOOSE(H67,"January","February","March","April","May","June","July","August","September","October","November","December")</f>
        <v>March</v>
      </c>
      <c r="H67">
        <f>MONTH(Table1[[#This Row],[Date]])</f>
        <v>3</v>
      </c>
      <c r="I67">
        <f>YEAR(Table1[[#This Row],[Date]])</f>
        <v>2023</v>
      </c>
    </row>
    <row r="68" spans="1:9" hidden="1" x14ac:dyDescent="0.35">
      <c r="A68" s="1">
        <v>44914</v>
      </c>
      <c r="B68" t="s">
        <v>10</v>
      </c>
      <c r="C68" t="s">
        <v>12</v>
      </c>
      <c r="D68">
        <v>487.55</v>
      </c>
      <c r="E68">
        <v>2</v>
      </c>
      <c r="F68" t="s">
        <v>16</v>
      </c>
      <c r="G68" t="str">
        <f>CHOOSE(H68,"January","February","March","April","May","June","July","August","September","October","November","December")</f>
        <v>December</v>
      </c>
      <c r="H68">
        <f>MONTH(Table1[[#This Row],[Date]])</f>
        <v>12</v>
      </c>
      <c r="I68">
        <f>YEAR(Table1[[#This Row],[Date]])</f>
        <v>2022</v>
      </c>
    </row>
    <row r="69" spans="1:9" hidden="1" x14ac:dyDescent="0.35">
      <c r="A69" s="1">
        <v>44615</v>
      </c>
      <c r="B69" t="s">
        <v>8</v>
      </c>
      <c r="C69" t="s">
        <v>14</v>
      </c>
      <c r="D69">
        <v>340.19</v>
      </c>
      <c r="E69">
        <v>2</v>
      </c>
      <c r="F69" t="s">
        <v>19</v>
      </c>
      <c r="G69" t="str">
        <f>CHOOSE(H69,"January","February","March","April","May","June","July","August","September","October","November","December")</f>
        <v>February</v>
      </c>
      <c r="H69">
        <f>MONTH(Table1[[#This Row],[Date]])</f>
        <v>2</v>
      </c>
      <c r="I69">
        <f>YEAR(Table1[[#This Row],[Date]])</f>
        <v>2022</v>
      </c>
    </row>
    <row r="70" spans="1:9" hidden="1" x14ac:dyDescent="0.35">
      <c r="A70" s="1">
        <v>44920</v>
      </c>
      <c r="B70" t="s">
        <v>8</v>
      </c>
      <c r="C70" t="s">
        <v>13</v>
      </c>
      <c r="D70">
        <v>281.29000000000002</v>
      </c>
      <c r="E70">
        <v>2</v>
      </c>
      <c r="F70" t="s">
        <v>19</v>
      </c>
      <c r="G70" t="str">
        <f>CHOOSE(H70,"January","February","March","April","May","June","July","August","September","October","November","December")</f>
        <v>December</v>
      </c>
      <c r="H70">
        <f>MONTH(Table1[[#This Row],[Date]])</f>
        <v>12</v>
      </c>
      <c r="I70">
        <f>YEAR(Table1[[#This Row],[Date]])</f>
        <v>2022</v>
      </c>
    </row>
    <row r="71" spans="1:9" hidden="1" x14ac:dyDescent="0.35">
      <c r="A71" s="1">
        <v>44883</v>
      </c>
      <c r="B71" t="s">
        <v>8</v>
      </c>
      <c r="C71" t="s">
        <v>13</v>
      </c>
      <c r="D71">
        <v>1955.32</v>
      </c>
      <c r="E71">
        <v>2</v>
      </c>
      <c r="F71" t="s">
        <v>18</v>
      </c>
      <c r="G71" t="str">
        <f>CHOOSE(H71,"January","February","March","April","May","June","July","August","September","October","November","December")</f>
        <v>November</v>
      </c>
      <c r="H71">
        <f>MONTH(Table1[[#This Row],[Date]])</f>
        <v>11</v>
      </c>
      <c r="I71">
        <f>YEAR(Table1[[#This Row],[Date]])</f>
        <v>2022</v>
      </c>
    </row>
    <row r="72" spans="1:9" x14ac:dyDescent="0.35">
      <c r="A72" s="1">
        <v>44996</v>
      </c>
      <c r="B72" t="s">
        <v>9</v>
      </c>
      <c r="C72" t="s">
        <v>13</v>
      </c>
      <c r="D72" s="9">
        <v>920.28</v>
      </c>
      <c r="E72">
        <v>8</v>
      </c>
      <c r="F72" t="s">
        <v>18</v>
      </c>
      <c r="G72" t="str">
        <f>CHOOSE(H72,"January","February","March","April","May","June","July","August","September","October","November","December")</f>
        <v>March</v>
      </c>
      <c r="H72">
        <f>MONTH(Table1[[#This Row],[Date]])</f>
        <v>3</v>
      </c>
      <c r="I72">
        <f>YEAR(Table1[[#This Row],[Date]])</f>
        <v>2023</v>
      </c>
    </row>
    <row r="73" spans="1:9" hidden="1" x14ac:dyDescent="0.35">
      <c r="A73" s="1">
        <v>44601</v>
      </c>
      <c r="B73" t="s">
        <v>10</v>
      </c>
      <c r="C73" t="s">
        <v>14</v>
      </c>
      <c r="D73">
        <v>1584.76</v>
      </c>
      <c r="E73">
        <v>2</v>
      </c>
      <c r="F73" t="s">
        <v>15</v>
      </c>
      <c r="G73" t="str">
        <f>CHOOSE(H73,"January","February","March","April","May","June","July","August","September","October","November","December")</f>
        <v>February</v>
      </c>
      <c r="H73">
        <f>MONTH(Table1[[#This Row],[Date]])</f>
        <v>2</v>
      </c>
      <c r="I73">
        <f>YEAR(Table1[[#This Row],[Date]])</f>
        <v>2022</v>
      </c>
    </row>
    <row r="74" spans="1:9" x14ac:dyDescent="0.35">
      <c r="A74" s="1">
        <v>44998</v>
      </c>
      <c r="B74" t="s">
        <v>10</v>
      </c>
      <c r="C74" t="s">
        <v>14</v>
      </c>
      <c r="D74" s="9">
        <v>1792.78</v>
      </c>
      <c r="E74">
        <v>5</v>
      </c>
      <c r="F74" t="s">
        <v>18</v>
      </c>
      <c r="G74" t="str">
        <f>CHOOSE(H74,"January","February","March","April","May","June","July","August","September","October","November","December")</f>
        <v>March</v>
      </c>
      <c r="H74">
        <f>MONTH(Table1[[#This Row],[Date]])</f>
        <v>3</v>
      </c>
      <c r="I74">
        <f>YEAR(Table1[[#This Row],[Date]])</f>
        <v>2023</v>
      </c>
    </row>
    <row r="75" spans="1:9" x14ac:dyDescent="0.35">
      <c r="A75" s="1">
        <v>45001</v>
      </c>
      <c r="B75" t="s">
        <v>6</v>
      </c>
      <c r="C75" t="s">
        <v>11</v>
      </c>
      <c r="D75" s="9">
        <v>539.91999999999996</v>
      </c>
      <c r="E75">
        <v>8</v>
      </c>
      <c r="F75" t="s">
        <v>19</v>
      </c>
      <c r="G75" t="str">
        <f>CHOOSE(H75,"January","February","March","April","May","June","July","August","September","October","November","December")</f>
        <v>March</v>
      </c>
      <c r="H75">
        <f>MONTH(Table1[[#This Row],[Date]])</f>
        <v>3</v>
      </c>
      <c r="I75">
        <f>YEAR(Table1[[#This Row],[Date]])</f>
        <v>2023</v>
      </c>
    </row>
    <row r="76" spans="1:9" hidden="1" x14ac:dyDescent="0.35">
      <c r="A76" s="1">
        <v>44795</v>
      </c>
      <c r="B76" t="s">
        <v>9</v>
      </c>
      <c r="C76" t="s">
        <v>14</v>
      </c>
      <c r="D76">
        <v>1088.74</v>
      </c>
      <c r="E76">
        <v>2</v>
      </c>
      <c r="F76" t="s">
        <v>18</v>
      </c>
      <c r="G76" t="str">
        <f>CHOOSE(H76,"January","February","March","April","May","June","July","August","September","October","November","December")</f>
        <v>August</v>
      </c>
      <c r="H76">
        <f>MONTH(Table1[[#This Row],[Date]])</f>
        <v>8</v>
      </c>
      <c r="I76">
        <f>YEAR(Table1[[#This Row],[Date]])</f>
        <v>2022</v>
      </c>
    </row>
    <row r="77" spans="1:9" hidden="1" x14ac:dyDescent="0.35">
      <c r="A77" s="1">
        <v>44900</v>
      </c>
      <c r="B77" t="s">
        <v>9</v>
      </c>
      <c r="C77" t="s">
        <v>11</v>
      </c>
      <c r="D77">
        <v>1067.81</v>
      </c>
      <c r="E77">
        <v>2</v>
      </c>
      <c r="F77" t="s">
        <v>15</v>
      </c>
      <c r="G77" t="str">
        <f>CHOOSE(H77,"January","February","March","April","May","June","July","August","September","October","November","December")</f>
        <v>December</v>
      </c>
      <c r="H77">
        <f>MONTH(Table1[[#This Row],[Date]])</f>
        <v>12</v>
      </c>
      <c r="I77">
        <f>YEAR(Table1[[#This Row],[Date]])</f>
        <v>2022</v>
      </c>
    </row>
    <row r="78" spans="1:9" hidden="1" x14ac:dyDescent="0.35">
      <c r="A78" s="1">
        <v>44607</v>
      </c>
      <c r="B78" t="s">
        <v>8</v>
      </c>
      <c r="C78" t="s">
        <v>12</v>
      </c>
      <c r="D78">
        <v>1628.61</v>
      </c>
      <c r="E78">
        <v>2</v>
      </c>
      <c r="F78" t="s">
        <v>16</v>
      </c>
      <c r="G78" t="str">
        <f>CHOOSE(H78,"January","February","March","April","May","June","July","August","September","October","November","December")</f>
        <v>February</v>
      </c>
      <c r="H78">
        <f>MONTH(Table1[[#This Row],[Date]])</f>
        <v>2</v>
      </c>
      <c r="I78">
        <f>YEAR(Table1[[#This Row],[Date]])</f>
        <v>2022</v>
      </c>
    </row>
    <row r="79" spans="1:9" hidden="1" x14ac:dyDescent="0.35">
      <c r="A79" s="1">
        <v>44642</v>
      </c>
      <c r="B79" t="s">
        <v>9</v>
      </c>
      <c r="C79" t="s">
        <v>14</v>
      </c>
      <c r="D79">
        <v>718.62</v>
      </c>
      <c r="E79">
        <v>2</v>
      </c>
      <c r="F79" t="s">
        <v>15</v>
      </c>
      <c r="G79" t="str">
        <f>CHOOSE(H79,"January","February","March","April","May","June","July","August","September","October","November","December")</f>
        <v>March</v>
      </c>
      <c r="H79">
        <f>MONTH(Table1[[#This Row],[Date]])</f>
        <v>3</v>
      </c>
      <c r="I79">
        <f>YEAR(Table1[[#This Row],[Date]])</f>
        <v>2022</v>
      </c>
    </row>
    <row r="80" spans="1:9" hidden="1" x14ac:dyDescent="0.35">
      <c r="A80" s="1">
        <v>44589</v>
      </c>
      <c r="B80" t="s">
        <v>8</v>
      </c>
      <c r="C80" t="s">
        <v>14</v>
      </c>
      <c r="D80">
        <v>1677.28</v>
      </c>
      <c r="E80">
        <v>2</v>
      </c>
      <c r="F80" t="s">
        <v>19</v>
      </c>
      <c r="G80" t="str">
        <f>CHOOSE(H80,"January","February","March","April","May","June","July","August","September","October","November","December")</f>
        <v>January</v>
      </c>
      <c r="H80">
        <f>MONTH(Table1[[#This Row],[Date]])</f>
        <v>1</v>
      </c>
      <c r="I80">
        <f>YEAR(Table1[[#This Row],[Date]])</f>
        <v>2022</v>
      </c>
    </row>
    <row r="81" spans="1:9" hidden="1" x14ac:dyDescent="0.35">
      <c r="A81" s="1">
        <v>44881</v>
      </c>
      <c r="B81" t="s">
        <v>8</v>
      </c>
      <c r="C81" t="s">
        <v>11</v>
      </c>
      <c r="D81">
        <v>1523.8</v>
      </c>
      <c r="E81">
        <v>2</v>
      </c>
      <c r="F81" t="s">
        <v>17</v>
      </c>
      <c r="G81" t="str">
        <f>CHOOSE(H81,"January","February","March","April","May","June","July","August","September","October","November","December")</f>
        <v>November</v>
      </c>
      <c r="H81">
        <f>MONTH(Table1[[#This Row],[Date]])</f>
        <v>11</v>
      </c>
      <c r="I81">
        <f>YEAR(Table1[[#This Row],[Date]])</f>
        <v>2022</v>
      </c>
    </row>
    <row r="82" spans="1:9" x14ac:dyDescent="0.35">
      <c r="A82" s="1">
        <v>45001</v>
      </c>
      <c r="B82" t="s">
        <v>8</v>
      </c>
      <c r="C82" t="s">
        <v>13</v>
      </c>
      <c r="D82" s="9">
        <v>376.88</v>
      </c>
      <c r="E82">
        <v>3</v>
      </c>
      <c r="F82" t="s">
        <v>17</v>
      </c>
      <c r="G82" t="str">
        <f>CHOOSE(H82,"January","February","March","April","May","June","July","August","September","October","November","December")</f>
        <v>March</v>
      </c>
      <c r="H82">
        <f>MONTH(Table1[[#This Row],[Date]])</f>
        <v>3</v>
      </c>
      <c r="I82">
        <f>YEAR(Table1[[#This Row],[Date]])</f>
        <v>2023</v>
      </c>
    </row>
    <row r="83" spans="1:9" hidden="1" x14ac:dyDescent="0.35">
      <c r="A83" s="1">
        <v>44897</v>
      </c>
      <c r="B83" t="s">
        <v>7</v>
      </c>
      <c r="C83" t="s">
        <v>12</v>
      </c>
      <c r="D83">
        <v>216.53</v>
      </c>
      <c r="E83">
        <v>2</v>
      </c>
      <c r="F83" t="s">
        <v>17</v>
      </c>
      <c r="G83" t="str">
        <f>CHOOSE(H83,"January","February","March","April","May","June","July","August","September","October","November","December")</f>
        <v>December</v>
      </c>
      <c r="H83">
        <f>MONTH(Table1[[#This Row],[Date]])</f>
        <v>12</v>
      </c>
      <c r="I83">
        <f>YEAR(Table1[[#This Row],[Date]])</f>
        <v>2022</v>
      </c>
    </row>
    <row r="84" spans="1:9" hidden="1" x14ac:dyDescent="0.35">
      <c r="A84" s="1">
        <v>44910</v>
      </c>
      <c r="B84" t="s">
        <v>10</v>
      </c>
      <c r="C84" t="s">
        <v>11</v>
      </c>
      <c r="D84">
        <v>132.75</v>
      </c>
      <c r="E84">
        <v>2</v>
      </c>
      <c r="F84" t="s">
        <v>17</v>
      </c>
      <c r="G84" t="str">
        <f>CHOOSE(H84,"January","February","March","April","May","June","July","August","September","October","November","December")</f>
        <v>December</v>
      </c>
      <c r="H84">
        <f>MONTH(Table1[[#This Row],[Date]])</f>
        <v>12</v>
      </c>
      <c r="I84">
        <f>YEAR(Table1[[#This Row],[Date]])</f>
        <v>2022</v>
      </c>
    </row>
    <row r="85" spans="1:9" x14ac:dyDescent="0.35">
      <c r="A85" s="1">
        <v>45002</v>
      </c>
      <c r="B85" t="s">
        <v>8</v>
      </c>
      <c r="C85" t="s">
        <v>14</v>
      </c>
      <c r="D85" s="9">
        <v>1322.74</v>
      </c>
      <c r="E85">
        <v>6</v>
      </c>
      <c r="F85" t="s">
        <v>19</v>
      </c>
      <c r="G85" t="str">
        <f>CHOOSE(H85,"January","February","March","April","May","June","July","August","September","October","November","December")</f>
        <v>March</v>
      </c>
      <c r="H85">
        <f>MONTH(Table1[[#This Row],[Date]])</f>
        <v>3</v>
      </c>
      <c r="I85">
        <f>YEAR(Table1[[#This Row],[Date]])</f>
        <v>2023</v>
      </c>
    </row>
    <row r="86" spans="1:9" hidden="1" x14ac:dyDescent="0.35">
      <c r="A86" s="1">
        <v>44659</v>
      </c>
      <c r="B86" t="s">
        <v>7</v>
      </c>
      <c r="C86" t="s">
        <v>12</v>
      </c>
      <c r="D86">
        <v>376.97</v>
      </c>
      <c r="E86">
        <v>2</v>
      </c>
      <c r="F86" t="s">
        <v>19</v>
      </c>
      <c r="G86" t="str">
        <f>CHOOSE(H86,"January","February","March","April","May","June","July","August","September","October","November","December")</f>
        <v>April</v>
      </c>
      <c r="H86">
        <f>MONTH(Table1[[#This Row],[Date]])</f>
        <v>4</v>
      </c>
      <c r="I86">
        <f>YEAR(Table1[[#This Row],[Date]])</f>
        <v>2022</v>
      </c>
    </row>
    <row r="87" spans="1:9" x14ac:dyDescent="0.35">
      <c r="A87" s="1">
        <v>45003</v>
      </c>
      <c r="B87" t="s">
        <v>8</v>
      </c>
      <c r="C87" t="s">
        <v>11</v>
      </c>
      <c r="D87" s="9">
        <v>1623.99</v>
      </c>
      <c r="E87">
        <v>5</v>
      </c>
      <c r="F87" t="s">
        <v>19</v>
      </c>
      <c r="G87" t="str">
        <f>CHOOSE(H87,"January","February","March","April","May","June","July","August","September","October","November","December")</f>
        <v>March</v>
      </c>
      <c r="H87">
        <f>MONTH(Table1[[#This Row],[Date]])</f>
        <v>3</v>
      </c>
      <c r="I87">
        <f>YEAR(Table1[[#This Row],[Date]])</f>
        <v>2023</v>
      </c>
    </row>
    <row r="88" spans="1:9" x14ac:dyDescent="0.35">
      <c r="A88" s="1">
        <v>45004</v>
      </c>
      <c r="B88" t="s">
        <v>10</v>
      </c>
      <c r="C88" t="s">
        <v>14</v>
      </c>
      <c r="D88" s="9">
        <v>1878.45</v>
      </c>
      <c r="E88">
        <v>7</v>
      </c>
      <c r="F88" t="s">
        <v>16</v>
      </c>
      <c r="G88" t="str">
        <f>CHOOSE(H88,"January","February","March","April","May","June","July","August","September","October","November","December")</f>
        <v>March</v>
      </c>
      <c r="H88">
        <f>MONTH(Table1[[#This Row],[Date]])</f>
        <v>3</v>
      </c>
      <c r="I88">
        <f>YEAR(Table1[[#This Row],[Date]])</f>
        <v>2023</v>
      </c>
    </row>
    <row r="89" spans="1:9" hidden="1" x14ac:dyDescent="0.35">
      <c r="A89" s="1">
        <v>44822</v>
      </c>
      <c r="B89" t="s">
        <v>6</v>
      </c>
      <c r="C89" t="s">
        <v>12</v>
      </c>
      <c r="D89">
        <v>372.34</v>
      </c>
      <c r="E89">
        <v>2</v>
      </c>
      <c r="F89" t="s">
        <v>16</v>
      </c>
      <c r="G89" t="str">
        <f>CHOOSE(H89,"January","February","March","April","May","June","July","August","September","October","November","December")</f>
        <v>September</v>
      </c>
      <c r="H89">
        <f>MONTH(Table1[[#This Row],[Date]])</f>
        <v>9</v>
      </c>
      <c r="I89">
        <f>YEAR(Table1[[#This Row],[Date]])</f>
        <v>2022</v>
      </c>
    </row>
    <row r="90" spans="1:9" x14ac:dyDescent="0.35">
      <c r="A90" s="1">
        <v>45005</v>
      </c>
      <c r="B90" t="s">
        <v>8</v>
      </c>
      <c r="C90" t="s">
        <v>14</v>
      </c>
      <c r="D90" s="9">
        <v>1683.86</v>
      </c>
      <c r="E90">
        <v>3</v>
      </c>
      <c r="F90" t="s">
        <v>17</v>
      </c>
      <c r="G90" t="str">
        <f>CHOOSE(H90,"January","February","March","April","May","June","July","August","September","October","November","December")</f>
        <v>March</v>
      </c>
      <c r="H90">
        <f>MONTH(Table1[[#This Row],[Date]])</f>
        <v>3</v>
      </c>
      <c r="I90">
        <f>YEAR(Table1[[#This Row],[Date]])</f>
        <v>2023</v>
      </c>
    </row>
    <row r="91" spans="1:9" hidden="1" x14ac:dyDescent="0.35">
      <c r="A91" s="1">
        <v>44921</v>
      </c>
      <c r="B91" t="s">
        <v>10</v>
      </c>
      <c r="C91" t="s">
        <v>11</v>
      </c>
      <c r="D91">
        <v>1203.3599999999999</v>
      </c>
      <c r="E91">
        <v>2</v>
      </c>
      <c r="F91" t="s">
        <v>16</v>
      </c>
      <c r="G91" t="str">
        <f>CHOOSE(H91,"January","February","March","April","May","June","July","August","September","October","November","December")</f>
        <v>December</v>
      </c>
      <c r="H91">
        <f>MONTH(Table1[[#This Row],[Date]])</f>
        <v>12</v>
      </c>
      <c r="I91">
        <f>YEAR(Table1[[#This Row],[Date]])</f>
        <v>2022</v>
      </c>
    </row>
    <row r="92" spans="1:9" hidden="1" x14ac:dyDescent="0.35">
      <c r="A92" s="1">
        <v>44881</v>
      </c>
      <c r="B92" t="s">
        <v>7</v>
      </c>
      <c r="C92" t="s">
        <v>11</v>
      </c>
      <c r="D92">
        <v>1789.27</v>
      </c>
      <c r="E92">
        <v>2</v>
      </c>
      <c r="F92" t="s">
        <v>19</v>
      </c>
      <c r="G92" t="str">
        <f>CHOOSE(H92,"January","February","March","April","May","June","July","August","September","October","November","December")</f>
        <v>November</v>
      </c>
      <c r="H92">
        <f>MONTH(Table1[[#This Row],[Date]])</f>
        <v>11</v>
      </c>
      <c r="I92">
        <f>YEAR(Table1[[#This Row],[Date]])</f>
        <v>2022</v>
      </c>
    </row>
    <row r="93" spans="1:9" hidden="1" x14ac:dyDescent="0.35">
      <c r="A93" s="1">
        <v>44808</v>
      </c>
      <c r="B93" t="s">
        <v>8</v>
      </c>
      <c r="C93" t="s">
        <v>14</v>
      </c>
      <c r="D93">
        <v>1596.98</v>
      </c>
      <c r="E93">
        <v>2</v>
      </c>
      <c r="F93" t="s">
        <v>19</v>
      </c>
      <c r="G93" t="str">
        <f>CHOOSE(H93,"January","February","March","April","May","June","July","August","September","October","November","December")</f>
        <v>September</v>
      </c>
      <c r="H93">
        <f>MONTH(Table1[[#This Row],[Date]])</f>
        <v>9</v>
      </c>
      <c r="I93">
        <f>YEAR(Table1[[#This Row],[Date]])</f>
        <v>2022</v>
      </c>
    </row>
    <row r="94" spans="1:9" hidden="1" x14ac:dyDescent="0.35">
      <c r="A94" s="1">
        <v>44683</v>
      </c>
      <c r="B94" t="s">
        <v>6</v>
      </c>
      <c r="C94" t="s">
        <v>11</v>
      </c>
      <c r="D94">
        <v>563.99</v>
      </c>
      <c r="E94">
        <v>2</v>
      </c>
      <c r="F94" t="s">
        <v>15</v>
      </c>
      <c r="G94" t="str">
        <f>CHOOSE(H94,"January","February","March","April","May","June","July","August","September","October","November","December")</f>
        <v>May</v>
      </c>
      <c r="H94">
        <f>MONTH(Table1[[#This Row],[Date]])</f>
        <v>5</v>
      </c>
      <c r="I94">
        <f>YEAR(Table1[[#This Row],[Date]])</f>
        <v>2022</v>
      </c>
    </row>
    <row r="95" spans="1:9" hidden="1" x14ac:dyDescent="0.35">
      <c r="A95" s="1">
        <v>44655</v>
      </c>
      <c r="B95" t="s">
        <v>6</v>
      </c>
      <c r="C95" t="s">
        <v>14</v>
      </c>
      <c r="D95">
        <v>430.52</v>
      </c>
      <c r="E95">
        <v>2</v>
      </c>
      <c r="F95" t="s">
        <v>16</v>
      </c>
      <c r="G95" t="str">
        <f>CHOOSE(H95,"January","February","March","April","May","June","July","August","September","October","November","December")</f>
        <v>April</v>
      </c>
      <c r="H95">
        <f>MONTH(Table1[[#This Row],[Date]])</f>
        <v>4</v>
      </c>
      <c r="I95">
        <f>YEAR(Table1[[#This Row],[Date]])</f>
        <v>2022</v>
      </c>
    </row>
    <row r="96" spans="1:9" hidden="1" x14ac:dyDescent="0.35">
      <c r="A96" s="1">
        <v>44795</v>
      </c>
      <c r="B96" t="s">
        <v>7</v>
      </c>
      <c r="C96" t="s">
        <v>12</v>
      </c>
      <c r="D96">
        <v>1189.93</v>
      </c>
      <c r="E96">
        <v>2</v>
      </c>
      <c r="F96" t="s">
        <v>19</v>
      </c>
      <c r="G96" t="str">
        <f>CHOOSE(H96,"January","February","March","April","May","June","July","August","September","October","November","December")</f>
        <v>August</v>
      </c>
      <c r="H96">
        <f>MONTH(Table1[[#This Row],[Date]])</f>
        <v>8</v>
      </c>
      <c r="I96">
        <f>YEAR(Table1[[#This Row],[Date]])</f>
        <v>2022</v>
      </c>
    </row>
    <row r="97" spans="1:9" hidden="1" x14ac:dyDescent="0.35">
      <c r="A97" s="1">
        <v>44781</v>
      </c>
      <c r="B97" t="s">
        <v>6</v>
      </c>
      <c r="C97" t="s">
        <v>13</v>
      </c>
      <c r="D97">
        <v>1962.73</v>
      </c>
      <c r="E97">
        <v>2</v>
      </c>
      <c r="F97" t="s">
        <v>19</v>
      </c>
      <c r="G97" t="str">
        <f>CHOOSE(H97,"January","February","March","April","May","June","July","August","September","October","November","December")</f>
        <v>August</v>
      </c>
      <c r="H97">
        <f>MONTH(Table1[[#This Row],[Date]])</f>
        <v>8</v>
      </c>
      <c r="I97">
        <f>YEAR(Table1[[#This Row],[Date]])</f>
        <v>2022</v>
      </c>
    </row>
    <row r="98" spans="1:9" hidden="1" x14ac:dyDescent="0.35">
      <c r="A98" s="1">
        <v>44627</v>
      </c>
      <c r="B98" t="s">
        <v>10</v>
      </c>
      <c r="C98" t="s">
        <v>14</v>
      </c>
      <c r="D98">
        <v>685.83</v>
      </c>
      <c r="E98">
        <v>2</v>
      </c>
      <c r="F98" t="s">
        <v>18</v>
      </c>
      <c r="G98" t="str">
        <f>CHOOSE(H98,"January","February","March","April","May","June","July","August","September","October","November","December")</f>
        <v>March</v>
      </c>
      <c r="H98">
        <f>MONTH(Table1[[#This Row],[Date]])</f>
        <v>3</v>
      </c>
      <c r="I98">
        <f>YEAR(Table1[[#This Row],[Date]])</f>
        <v>2022</v>
      </c>
    </row>
    <row r="99" spans="1:9" x14ac:dyDescent="0.35">
      <c r="A99" s="1">
        <v>45008</v>
      </c>
      <c r="B99" t="s">
        <v>8</v>
      </c>
      <c r="C99" t="s">
        <v>13</v>
      </c>
      <c r="D99" s="9">
        <v>1510.49</v>
      </c>
      <c r="E99">
        <v>6</v>
      </c>
      <c r="F99" t="s">
        <v>15</v>
      </c>
      <c r="G99" t="str">
        <f>CHOOSE(H99,"January","February","March","April","May","June","July","August","September","October","November","December")</f>
        <v>March</v>
      </c>
      <c r="H99">
        <f>MONTH(Table1[[#This Row],[Date]])</f>
        <v>3</v>
      </c>
      <c r="I99">
        <f>YEAR(Table1[[#This Row],[Date]])</f>
        <v>2023</v>
      </c>
    </row>
    <row r="100" spans="1:9" hidden="1" x14ac:dyDescent="0.35">
      <c r="A100" s="1">
        <v>44916</v>
      </c>
      <c r="B100" t="s">
        <v>6</v>
      </c>
      <c r="C100" t="s">
        <v>12</v>
      </c>
      <c r="D100">
        <v>447.01</v>
      </c>
      <c r="E100">
        <v>3</v>
      </c>
      <c r="F100" t="s">
        <v>18</v>
      </c>
      <c r="G100" t="str">
        <f>CHOOSE(H100,"January","February","March","April","May","June","July","August","September","October","November","December")</f>
        <v>December</v>
      </c>
      <c r="H100">
        <f>MONTH(Table1[[#This Row],[Date]])</f>
        <v>12</v>
      </c>
      <c r="I100">
        <f>YEAR(Table1[[#This Row],[Date]])</f>
        <v>2022</v>
      </c>
    </row>
    <row r="101" spans="1:9" x14ac:dyDescent="0.35">
      <c r="A101" s="1">
        <v>45008</v>
      </c>
      <c r="B101" t="s">
        <v>7</v>
      </c>
      <c r="C101" t="s">
        <v>11</v>
      </c>
      <c r="D101" s="9">
        <v>247.62</v>
      </c>
      <c r="E101">
        <v>1</v>
      </c>
      <c r="F101" t="s">
        <v>19</v>
      </c>
      <c r="G101" t="str">
        <f>CHOOSE(H101,"January","February","March","April","May","June","July","August","September","October","November","December")</f>
        <v>March</v>
      </c>
      <c r="H101">
        <f>MONTH(Table1[[#This Row],[Date]])</f>
        <v>3</v>
      </c>
      <c r="I101">
        <f>YEAR(Table1[[#This Row],[Date]])</f>
        <v>2023</v>
      </c>
    </row>
    <row r="102" spans="1:9" x14ac:dyDescent="0.35">
      <c r="A102" s="1">
        <v>45009</v>
      </c>
      <c r="B102" t="s">
        <v>9</v>
      </c>
      <c r="C102" t="s">
        <v>11</v>
      </c>
      <c r="D102" s="9">
        <v>1276.92</v>
      </c>
      <c r="E102">
        <v>8</v>
      </c>
      <c r="F102" t="s">
        <v>15</v>
      </c>
      <c r="G102" t="str">
        <f>CHOOSE(H102,"January","February","March","April","May","June","July","August","September","October","November","December")</f>
        <v>March</v>
      </c>
      <c r="H102">
        <f>MONTH(Table1[[#This Row],[Date]])</f>
        <v>3</v>
      </c>
      <c r="I102">
        <f>YEAR(Table1[[#This Row],[Date]])</f>
        <v>2023</v>
      </c>
    </row>
    <row r="103" spans="1:9" hidden="1" x14ac:dyDescent="0.35">
      <c r="A103" s="1">
        <v>44567</v>
      </c>
      <c r="B103" t="s">
        <v>6</v>
      </c>
      <c r="C103" t="s">
        <v>12</v>
      </c>
      <c r="D103">
        <v>296.82</v>
      </c>
      <c r="E103">
        <v>3</v>
      </c>
      <c r="F103" t="s">
        <v>16</v>
      </c>
      <c r="G103" t="str">
        <f>CHOOSE(H103,"January","February","March","April","May","June","July","August","September","October","November","December")</f>
        <v>January</v>
      </c>
      <c r="H103">
        <f>MONTH(Table1[[#This Row],[Date]])</f>
        <v>1</v>
      </c>
      <c r="I103">
        <f>YEAR(Table1[[#This Row],[Date]])</f>
        <v>2022</v>
      </c>
    </row>
    <row r="104" spans="1:9" x14ac:dyDescent="0.35">
      <c r="A104" s="1">
        <v>45011</v>
      </c>
      <c r="B104" t="s">
        <v>7</v>
      </c>
      <c r="C104" t="s">
        <v>12</v>
      </c>
      <c r="D104" s="9">
        <v>1741.82</v>
      </c>
      <c r="E104">
        <v>4</v>
      </c>
      <c r="F104" t="s">
        <v>15</v>
      </c>
      <c r="G104" t="str">
        <f>CHOOSE(H104,"January","February","March","April","May","June","July","August","September","October","November","December")</f>
        <v>March</v>
      </c>
      <c r="H104">
        <f>MONTH(Table1[[#This Row],[Date]])</f>
        <v>3</v>
      </c>
      <c r="I104">
        <f>YEAR(Table1[[#This Row],[Date]])</f>
        <v>2023</v>
      </c>
    </row>
    <row r="105" spans="1:9" x14ac:dyDescent="0.35">
      <c r="A105" s="1">
        <v>45012</v>
      </c>
      <c r="B105" t="s">
        <v>6</v>
      </c>
      <c r="C105" t="s">
        <v>11</v>
      </c>
      <c r="D105" s="9">
        <v>209.12</v>
      </c>
      <c r="E105">
        <v>4</v>
      </c>
      <c r="F105" t="s">
        <v>19</v>
      </c>
      <c r="G105" t="str">
        <f>CHOOSE(H105,"January","February","March","April","May","June","July","August","September","October","November","December")</f>
        <v>March</v>
      </c>
      <c r="H105">
        <f>MONTH(Table1[[#This Row],[Date]])</f>
        <v>3</v>
      </c>
      <c r="I105">
        <f>YEAR(Table1[[#This Row],[Date]])</f>
        <v>2023</v>
      </c>
    </row>
    <row r="106" spans="1:9" x14ac:dyDescent="0.35">
      <c r="A106" s="1">
        <v>45015</v>
      </c>
      <c r="B106" t="s">
        <v>6</v>
      </c>
      <c r="C106" t="s">
        <v>11</v>
      </c>
      <c r="D106" s="9">
        <v>1858.56</v>
      </c>
      <c r="E106">
        <v>7</v>
      </c>
      <c r="F106" t="s">
        <v>19</v>
      </c>
      <c r="G106" t="str">
        <f>CHOOSE(H106,"January","February","March","April","May","June","July","August","September","October","November","December")</f>
        <v>March</v>
      </c>
      <c r="H106">
        <f>MONTH(Table1[[#This Row],[Date]])</f>
        <v>3</v>
      </c>
      <c r="I106">
        <f>YEAR(Table1[[#This Row],[Date]])</f>
        <v>2023</v>
      </c>
    </row>
    <row r="107" spans="1:9" x14ac:dyDescent="0.35">
      <c r="A107" s="1">
        <v>45019</v>
      </c>
      <c r="B107" t="s">
        <v>6</v>
      </c>
      <c r="C107" t="s">
        <v>12</v>
      </c>
      <c r="D107" s="9">
        <v>1147.28</v>
      </c>
      <c r="E107">
        <v>6</v>
      </c>
      <c r="F107" t="s">
        <v>15</v>
      </c>
      <c r="G107" t="str">
        <f>CHOOSE(H107,"January","February","March","April","May","June","July","August","September","October","November","December")</f>
        <v>April</v>
      </c>
      <c r="H107">
        <f>MONTH(Table1[[#This Row],[Date]])</f>
        <v>4</v>
      </c>
      <c r="I107">
        <f>YEAR(Table1[[#This Row],[Date]])</f>
        <v>2023</v>
      </c>
    </row>
    <row r="108" spans="1:9" hidden="1" x14ac:dyDescent="0.35">
      <c r="A108" s="1">
        <v>44900</v>
      </c>
      <c r="B108" t="s">
        <v>8</v>
      </c>
      <c r="C108" t="s">
        <v>14</v>
      </c>
      <c r="D108">
        <v>1091.1500000000001</v>
      </c>
      <c r="E108">
        <v>3</v>
      </c>
      <c r="F108" t="s">
        <v>19</v>
      </c>
      <c r="G108" t="str">
        <f>CHOOSE(H108,"January","February","March","April","May","June","July","August","September","October","November","December")</f>
        <v>December</v>
      </c>
      <c r="H108">
        <f>MONTH(Table1[[#This Row],[Date]])</f>
        <v>12</v>
      </c>
      <c r="I108">
        <f>YEAR(Table1[[#This Row],[Date]])</f>
        <v>2022</v>
      </c>
    </row>
    <row r="109" spans="1:9" hidden="1" x14ac:dyDescent="0.35">
      <c r="A109" s="1">
        <v>44650</v>
      </c>
      <c r="B109" t="s">
        <v>8</v>
      </c>
      <c r="C109" t="s">
        <v>11</v>
      </c>
      <c r="D109">
        <v>943.79</v>
      </c>
      <c r="E109">
        <v>3</v>
      </c>
      <c r="F109" t="s">
        <v>15</v>
      </c>
      <c r="G109" t="str">
        <f>CHOOSE(H109,"January","February","March","April","May","June","July","August","September","October","November","December")</f>
        <v>March</v>
      </c>
      <c r="H109">
        <f>MONTH(Table1[[#This Row],[Date]])</f>
        <v>3</v>
      </c>
      <c r="I109">
        <f>YEAR(Table1[[#This Row],[Date]])</f>
        <v>2022</v>
      </c>
    </row>
    <row r="110" spans="1:9" x14ac:dyDescent="0.35">
      <c r="A110" s="1">
        <v>45021</v>
      </c>
      <c r="B110" t="s">
        <v>7</v>
      </c>
      <c r="C110" t="s">
        <v>14</v>
      </c>
      <c r="D110" s="9">
        <v>1741.48</v>
      </c>
      <c r="E110">
        <v>9</v>
      </c>
      <c r="F110" t="s">
        <v>19</v>
      </c>
      <c r="G110" t="str">
        <f>CHOOSE(H110,"January","February","March","April","May","June","July","August","September","October","November","December")</f>
        <v>April</v>
      </c>
      <c r="H110">
        <f>MONTH(Table1[[#This Row],[Date]])</f>
        <v>4</v>
      </c>
      <c r="I110">
        <f>YEAR(Table1[[#This Row],[Date]])</f>
        <v>2023</v>
      </c>
    </row>
    <row r="111" spans="1:9" x14ac:dyDescent="0.35">
      <c r="A111" s="1">
        <v>45022</v>
      </c>
      <c r="B111" t="s">
        <v>8</v>
      </c>
      <c r="C111" t="s">
        <v>14</v>
      </c>
      <c r="D111" s="9">
        <v>545.01</v>
      </c>
      <c r="E111">
        <v>3</v>
      </c>
      <c r="F111" t="s">
        <v>15</v>
      </c>
      <c r="G111" t="str">
        <f>CHOOSE(H111,"January","February","March","April","May","June","July","August","September","October","November","December")</f>
        <v>April</v>
      </c>
      <c r="H111">
        <f>MONTH(Table1[[#This Row],[Date]])</f>
        <v>4</v>
      </c>
      <c r="I111">
        <f>YEAR(Table1[[#This Row],[Date]])</f>
        <v>2023</v>
      </c>
    </row>
    <row r="112" spans="1:9" hidden="1" x14ac:dyDescent="0.35">
      <c r="A112" s="1">
        <v>44908</v>
      </c>
      <c r="B112" t="s">
        <v>8</v>
      </c>
      <c r="C112" t="s">
        <v>14</v>
      </c>
      <c r="D112">
        <v>1630.34</v>
      </c>
      <c r="E112">
        <v>3</v>
      </c>
      <c r="F112" t="s">
        <v>16</v>
      </c>
      <c r="G112" t="str">
        <f>CHOOSE(H112,"January","February","March","April","May","June","July","August","September","October","November","December")</f>
        <v>December</v>
      </c>
      <c r="H112">
        <f>MONTH(Table1[[#This Row],[Date]])</f>
        <v>12</v>
      </c>
      <c r="I112">
        <f>YEAR(Table1[[#This Row],[Date]])</f>
        <v>2022</v>
      </c>
    </row>
    <row r="113" spans="1:9" hidden="1" x14ac:dyDescent="0.35">
      <c r="A113" s="1">
        <v>44911</v>
      </c>
      <c r="B113" t="s">
        <v>9</v>
      </c>
      <c r="C113" t="s">
        <v>14</v>
      </c>
      <c r="D113">
        <v>1947.03</v>
      </c>
      <c r="E113">
        <v>3</v>
      </c>
      <c r="F113" t="s">
        <v>18</v>
      </c>
      <c r="G113" t="str">
        <f>CHOOSE(H113,"January","February","March","April","May","June","July","August","September","October","November","December")</f>
        <v>December</v>
      </c>
      <c r="H113">
        <f>MONTH(Table1[[#This Row],[Date]])</f>
        <v>12</v>
      </c>
      <c r="I113">
        <f>YEAR(Table1[[#This Row],[Date]])</f>
        <v>2022</v>
      </c>
    </row>
    <row r="114" spans="1:9" x14ac:dyDescent="0.35">
      <c r="A114" s="1">
        <v>45023</v>
      </c>
      <c r="B114" t="s">
        <v>9</v>
      </c>
      <c r="C114" t="s">
        <v>13</v>
      </c>
      <c r="D114" s="9">
        <v>146.19</v>
      </c>
      <c r="E114">
        <v>7</v>
      </c>
      <c r="F114" t="s">
        <v>18</v>
      </c>
      <c r="G114" t="str">
        <f>CHOOSE(H114,"January","February","March","April","May","June","July","August","September","October","November","December")</f>
        <v>April</v>
      </c>
      <c r="H114">
        <f>MONTH(Table1[[#This Row],[Date]])</f>
        <v>4</v>
      </c>
      <c r="I114">
        <f>YEAR(Table1[[#This Row],[Date]])</f>
        <v>2023</v>
      </c>
    </row>
    <row r="115" spans="1:9" x14ac:dyDescent="0.35">
      <c r="A115" s="1">
        <v>45024</v>
      </c>
      <c r="B115" t="s">
        <v>10</v>
      </c>
      <c r="C115" t="s">
        <v>13</v>
      </c>
      <c r="D115" s="9">
        <v>1973.66</v>
      </c>
      <c r="E115">
        <v>5</v>
      </c>
      <c r="F115" t="s">
        <v>17</v>
      </c>
      <c r="G115" t="str">
        <f>CHOOSE(H115,"January","February","March","April","May","June","July","August","September","October","November","December")</f>
        <v>April</v>
      </c>
      <c r="H115">
        <f>MONTH(Table1[[#This Row],[Date]])</f>
        <v>4</v>
      </c>
      <c r="I115">
        <f>YEAR(Table1[[#This Row],[Date]])</f>
        <v>2023</v>
      </c>
    </row>
    <row r="116" spans="1:9" x14ac:dyDescent="0.35">
      <c r="A116" s="1">
        <v>45028</v>
      </c>
      <c r="B116" t="s">
        <v>8</v>
      </c>
      <c r="C116" t="s">
        <v>12</v>
      </c>
      <c r="D116" s="9">
        <v>1688.54</v>
      </c>
      <c r="E116">
        <v>4</v>
      </c>
      <c r="F116" t="s">
        <v>16</v>
      </c>
      <c r="G116" t="str">
        <f>CHOOSE(H116,"January","February","March","April","May","June","July","August","September","October","November","December")</f>
        <v>April</v>
      </c>
      <c r="H116">
        <f>MONTH(Table1[[#This Row],[Date]])</f>
        <v>4</v>
      </c>
      <c r="I116">
        <f>YEAR(Table1[[#This Row],[Date]])</f>
        <v>2023</v>
      </c>
    </row>
    <row r="117" spans="1:9" hidden="1" x14ac:dyDescent="0.35">
      <c r="A117" s="1">
        <v>44875</v>
      </c>
      <c r="B117" t="s">
        <v>8</v>
      </c>
      <c r="C117" t="s">
        <v>11</v>
      </c>
      <c r="D117">
        <v>526.19000000000005</v>
      </c>
      <c r="E117">
        <v>3</v>
      </c>
      <c r="F117" t="s">
        <v>16</v>
      </c>
      <c r="G117" t="str">
        <f>CHOOSE(H117,"January","February","March","April","May","June","July","August","September","October","November","December")</f>
        <v>November</v>
      </c>
      <c r="H117">
        <f>MONTH(Table1[[#This Row],[Date]])</f>
        <v>11</v>
      </c>
      <c r="I117">
        <f>YEAR(Table1[[#This Row],[Date]])</f>
        <v>2022</v>
      </c>
    </row>
    <row r="118" spans="1:9" hidden="1" x14ac:dyDescent="0.35">
      <c r="A118" s="1">
        <v>44796</v>
      </c>
      <c r="B118" t="s">
        <v>9</v>
      </c>
      <c r="C118" t="s">
        <v>11</v>
      </c>
      <c r="D118">
        <v>1124.67</v>
      </c>
      <c r="E118">
        <v>3</v>
      </c>
      <c r="F118" t="s">
        <v>18</v>
      </c>
      <c r="G118" t="str">
        <f>CHOOSE(H118,"January","February","March","April","May","June","July","August","September","October","November","December")</f>
        <v>August</v>
      </c>
      <c r="H118">
        <f>MONTH(Table1[[#This Row],[Date]])</f>
        <v>8</v>
      </c>
      <c r="I118">
        <f>YEAR(Table1[[#This Row],[Date]])</f>
        <v>2022</v>
      </c>
    </row>
    <row r="119" spans="1:9" hidden="1" x14ac:dyDescent="0.35">
      <c r="A119" s="1">
        <v>44577</v>
      </c>
      <c r="B119" t="s">
        <v>10</v>
      </c>
      <c r="C119" t="s">
        <v>12</v>
      </c>
      <c r="D119">
        <v>1791.19</v>
      </c>
      <c r="E119">
        <v>3</v>
      </c>
      <c r="F119" t="s">
        <v>16</v>
      </c>
      <c r="G119" t="str">
        <f>CHOOSE(H119,"January","February","March","April","May","June","July","August","September","October","November","December")</f>
        <v>January</v>
      </c>
      <c r="H119">
        <f>MONTH(Table1[[#This Row],[Date]])</f>
        <v>1</v>
      </c>
      <c r="I119">
        <f>YEAR(Table1[[#This Row],[Date]])</f>
        <v>2022</v>
      </c>
    </row>
    <row r="120" spans="1:9" hidden="1" x14ac:dyDescent="0.35">
      <c r="A120" s="1">
        <v>44607</v>
      </c>
      <c r="B120" t="s">
        <v>9</v>
      </c>
      <c r="C120" t="s">
        <v>12</v>
      </c>
      <c r="D120">
        <v>1100.78</v>
      </c>
      <c r="E120">
        <v>3</v>
      </c>
      <c r="F120" t="s">
        <v>16</v>
      </c>
      <c r="G120" t="str">
        <f>CHOOSE(H120,"January","February","March","April","May","June","July","August","September","October","November","December")</f>
        <v>February</v>
      </c>
      <c r="H120">
        <f>MONTH(Table1[[#This Row],[Date]])</f>
        <v>2</v>
      </c>
      <c r="I120">
        <f>YEAR(Table1[[#This Row],[Date]])</f>
        <v>2022</v>
      </c>
    </row>
    <row r="121" spans="1:9" hidden="1" x14ac:dyDescent="0.35">
      <c r="A121" s="1">
        <v>44876</v>
      </c>
      <c r="B121" t="s">
        <v>7</v>
      </c>
      <c r="C121" t="s">
        <v>11</v>
      </c>
      <c r="D121">
        <v>1427.63</v>
      </c>
      <c r="E121">
        <v>3</v>
      </c>
      <c r="F121" t="s">
        <v>19</v>
      </c>
      <c r="G121" t="str">
        <f>CHOOSE(H121,"January","February","March","April","May","June","July","August","September","October","November","December")</f>
        <v>November</v>
      </c>
      <c r="H121">
        <f>MONTH(Table1[[#This Row],[Date]])</f>
        <v>11</v>
      </c>
      <c r="I121">
        <f>YEAR(Table1[[#This Row],[Date]])</f>
        <v>2022</v>
      </c>
    </row>
    <row r="122" spans="1:9" hidden="1" x14ac:dyDescent="0.35">
      <c r="A122" s="1">
        <v>44924</v>
      </c>
      <c r="B122" t="s">
        <v>9</v>
      </c>
      <c r="C122" t="s">
        <v>11</v>
      </c>
      <c r="D122">
        <v>724.39</v>
      </c>
      <c r="E122">
        <v>3</v>
      </c>
      <c r="F122" t="s">
        <v>15</v>
      </c>
      <c r="G122" t="str">
        <f>CHOOSE(H122,"January","February","March","April","May","June","July","August","September","October","November","December")</f>
        <v>December</v>
      </c>
      <c r="H122">
        <f>MONTH(Table1[[#This Row],[Date]])</f>
        <v>12</v>
      </c>
      <c r="I122">
        <f>YEAR(Table1[[#This Row],[Date]])</f>
        <v>2022</v>
      </c>
    </row>
    <row r="123" spans="1:9" x14ac:dyDescent="0.35">
      <c r="A123" s="1">
        <v>45030</v>
      </c>
      <c r="B123" t="s">
        <v>10</v>
      </c>
      <c r="C123" t="s">
        <v>11</v>
      </c>
      <c r="D123" s="9">
        <v>847.78</v>
      </c>
      <c r="E123">
        <v>3</v>
      </c>
      <c r="F123" t="s">
        <v>15</v>
      </c>
      <c r="G123" t="str">
        <f>CHOOSE(H123,"January","February","March","April","May","June","July","August","September","October","November","December")</f>
        <v>April</v>
      </c>
      <c r="H123">
        <f>MONTH(Table1[[#This Row],[Date]])</f>
        <v>4</v>
      </c>
      <c r="I123">
        <f>YEAR(Table1[[#This Row],[Date]])</f>
        <v>2023</v>
      </c>
    </row>
    <row r="124" spans="1:9" hidden="1" x14ac:dyDescent="0.35">
      <c r="A124" s="1">
        <v>44675</v>
      </c>
      <c r="B124" t="s">
        <v>8</v>
      </c>
      <c r="C124" t="s">
        <v>11</v>
      </c>
      <c r="D124">
        <v>1052.4000000000001</v>
      </c>
      <c r="E124">
        <v>3</v>
      </c>
      <c r="F124" t="s">
        <v>19</v>
      </c>
      <c r="G124" t="str">
        <f>CHOOSE(H124,"January","February","March","April","May","June","July","August","September","October","November","December")</f>
        <v>April</v>
      </c>
      <c r="H124">
        <f>MONTH(Table1[[#This Row],[Date]])</f>
        <v>4</v>
      </c>
      <c r="I124">
        <f>YEAR(Table1[[#This Row],[Date]])</f>
        <v>2022</v>
      </c>
    </row>
    <row r="125" spans="1:9" x14ac:dyDescent="0.35">
      <c r="A125" s="1">
        <v>45030</v>
      </c>
      <c r="B125" t="s">
        <v>9</v>
      </c>
      <c r="C125" t="s">
        <v>11</v>
      </c>
      <c r="D125" s="9">
        <v>847.76</v>
      </c>
      <c r="E125">
        <v>6</v>
      </c>
      <c r="F125" t="s">
        <v>17</v>
      </c>
      <c r="G125" t="str">
        <f>CHOOSE(H125,"January","February","March","April","May","June","July","August","September","October","November","December")</f>
        <v>April</v>
      </c>
      <c r="H125">
        <f>MONTH(Table1[[#This Row],[Date]])</f>
        <v>4</v>
      </c>
      <c r="I125">
        <f>YEAR(Table1[[#This Row],[Date]])</f>
        <v>2023</v>
      </c>
    </row>
    <row r="126" spans="1:9" x14ac:dyDescent="0.35">
      <c r="A126" s="1">
        <v>45030</v>
      </c>
      <c r="B126" t="s">
        <v>9</v>
      </c>
      <c r="C126" t="s">
        <v>14</v>
      </c>
      <c r="D126" s="9">
        <v>264.95999999999998</v>
      </c>
      <c r="E126">
        <v>8</v>
      </c>
      <c r="F126" t="s">
        <v>15</v>
      </c>
      <c r="G126" t="str">
        <f>CHOOSE(H126,"January","February","March","April","May","June","July","August","September","October","November","December")</f>
        <v>April</v>
      </c>
      <c r="H126">
        <f>MONTH(Table1[[#This Row],[Date]])</f>
        <v>4</v>
      </c>
      <c r="I126">
        <f>YEAR(Table1[[#This Row],[Date]])</f>
        <v>2023</v>
      </c>
    </row>
    <row r="127" spans="1:9" x14ac:dyDescent="0.35">
      <c r="A127" s="1">
        <v>45032</v>
      </c>
      <c r="B127" t="s">
        <v>9</v>
      </c>
      <c r="C127" t="s">
        <v>14</v>
      </c>
      <c r="D127" s="9">
        <v>1320.39</v>
      </c>
      <c r="E127">
        <v>1</v>
      </c>
      <c r="F127" t="s">
        <v>18</v>
      </c>
      <c r="G127" t="str">
        <f>CHOOSE(H127,"January","February","March","April","May","June","July","August","September","October","November","December")</f>
        <v>April</v>
      </c>
      <c r="H127">
        <f>MONTH(Table1[[#This Row],[Date]])</f>
        <v>4</v>
      </c>
      <c r="I127">
        <f>YEAR(Table1[[#This Row],[Date]])</f>
        <v>2023</v>
      </c>
    </row>
    <row r="128" spans="1:9" hidden="1" x14ac:dyDescent="0.35">
      <c r="A128" s="1">
        <v>44721</v>
      </c>
      <c r="B128" t="s">
        <v>8</v>
      </c>
      <c r="C128" t="s">
        <v>14</v>
      </c>
      <c r="D128">
        <v>1962.6</v>
      </c>
      <c r="E128">
        <v>3</v>
      </c>
      <c r="F128" t="s">
        <v>17</v>
      </c>
      <c r="G128" t="str">
        <f>CHOOSE(H128,"January","February","March","April","May","June","July","August","September","October","November","December")</f>
        <v>June</v>
      </c>
      <c r="H128">
        <f>MONTH(Table1[[#This Row],[Date]])</f>
        <v>6</v>
      </c>
      <c r="I128">
        <f>YEAR(Table1[[#This Row],[Date]])</f>
        <v>2022</v>
      </c>
    </row>
    <row r="129" spans="1:9" x14ac:dyDescent="0.35">
      <c r="A129" s="1">
        <v>45036</v>
      </c>
      <c r="B129" t="s">
        <v>6</v>
      </c>
      <c r="C129" t="s">
        <v>12</v>
      </c>
      <c r="D129" s="9">
        <v>887.1</v>
      </c>
      <c r="E129">
        <v>2</v>
      </c>
      <c r="F129" t="s">
        <v>18</v>
      </c>
      <c r="G129" t="str">
        <f>CHOOSE(H129,"January","February","March","April","May","June","July","August","September","October","November","December")</f>
        <v>April</v>
      </c>
      <c r="H129">
        <f>MONTH(Table1[[#This Row],[Date]])</f>
        <v>4</v>
      </c>
      <c r="I129">
        <f>YEAR(Table1[[#This Row],[Date]])</f>
        <v>2023</v>
      </c>
    </row>
    <row r="130" spans="1:9" x14ac:dyDescent="0.35">
      <c r="A130" s="1">
        <v>45036</v>
      </c>
      <c r="B130" t="s">
        <v>7</v>
      </c>
      <c r="C130" t="s">
        <v>12</v>
      </c>
      <c r="D130" s="9">
        <v>321.19</v>
      </c>
      <c r="E130">
        <v>3</v>
      </c>
      <c r="F130" t="s">
        <v>18</v>
      </c>
      <c r="G130" t="str">
        <f>CHOOSE(H130,"January","February","March","April","May","June","July","August","September","October","November","December")</f>
        <v>April</v>
      </c>
      <c r="H130">
        <f>MONTH(Table1[[#This Row],[Date]])</f>
        <v>4</v>
      </c>
      <c r="I130">
        <f>YEAR(Table1[[#This Row],[Date]])</f>
        <v>2023</v>
      </c>
    </row>
    <row r="131" spans="1:9" x14ac:dyDescent="0.35">
      <c r="A131" s="1">
        <v>45038</v>
      </c>
      <c r="B131" t="s">
        <v>7</v>
      </c>
      <c r="C131" t="s">
        <v>11</v>
      </c>
      <c r="D131" s="9">
        <v>430.11</v>
      </c>
      <c r="E131">
        <v>6</v>
      </c>
      <c r="F131" t="s">
        <v>15</v>
      </c>
      <c r="G131" t="str">
        <f>CHOOSE(H131,"January","February","March","April","May","June","July","August","September","October","November","December")</f>
        <v>April</v>
      </c>
      <c r="H131">
        <f>MONTH(Table1[[#This Row],[Date]])</f>
        <v>4</v>
      </c>
      <c r="I131">
        <f>YEAR(Table1[[#This Row],[Date]])</f>
        <v>2023</v>
      </c>
    </row>
    <row r="132" spans="1:9" x14ac:dyDescent="0.35">
      <c r="A132" s="1">
        <v>45038</v>
      </c>
      <c r="B132" t="s">
        <v>9</v>
      </c>
      <c r="C132" t="s">
        <v>11</v>
      </c>
      <c r="D132" s="9">
        <v>195.88</v>
      </c>
      <c r="E132">
        <v>2</v>
      </c>
      <c r="F132" t="s">
        <v>15</v>
      </c>
      <c r="G132" t="str">
        <f>CHOOSE(H132,"January","February","March","April","May","June","July","August","September","October","November","December")</f>
        <v>April</v>
      </c>
      <c r="H132">
        <f>MONTH(Table1[[#This Row],[Date]])</f>
        <v>4</v>
      </c>
      <c r="I132">
        <f>YEAR(Table1[[#This Row],[Date]])</f>
        <v>2023</v>
      </c>
    </row>
    <row r="133" spans="1:9" x14ac:dyDescent="0.35">
      <c r="A133" s="1">
        <v>45040</v>
      </c>
      <c r="B133" t="s">
        <v>9</v>
      </c>
      <c r="C133" t="s">
        <v>13</v>
      </c>
      <c r="D133" s="9">
        <v>148.15</v>
      </c>
      <c r="E133">
        <v>5</v>
      </c>
      <c r="F133" t="s">
        <v>17</v>
      </c>
      <c r="G133" t="str">
        <f>CHOOSE(H133,"January","February","March","April","May","June","July","August","September","October","November","December")</f>
        <v>April</v>
      </c>
      <c r="H133">
        <f>MONTH(Table1[[#This Row],[Date]])</f>
        <v>4</v>
      </c>
      <c r="I133">
        <f>YEAR(Table1[[#This Row],[Date]])</f>
        <v>2023</v>
      </c>
    </row>
    <row r="134" spans="1:9" hidden="1" x14ac:dyDescent="0.35">
      <c r="A134" s="1">
        <v>44676</v>
      </c>
      <c r="B134" t="s">
        <v>7</v>
      </c>
      <c r="C134" t="s">
        <v>13</v>
      </c>
      <c r="D134">
        <v>1490.54</v>
      </c>
      <c r="E134">
        <v>3</v>
      </c>
      <c r="F134" t="s">
        <v>16</v>
      </c>
      <c r="G134" t="str">
        <f>CHOOSE(H134,"January","February","March","April","May","June","July","August","September","October","November","December")</f>
        <v>April</v>
      </c>
      <c r="H134">
        <f>MONTH(Table1[[#This Row],[Date]])</f>
        <v>4</v>
      </c>
      <c r="I134">
        <f>YEAR(Table1[[#This Row],[Date]])</f>
        <v>2022</v>
      </c>
    </row>
    <row r="135" spans="1:9" hidden="1" x14ac:dyDescent="0.35">
      <c r="A135" s="1">
        <v>44708</v>
      </c>
      <c r="B135" t="s">
        <v>9</v>
      </c>
      <c r="C135" t="s">
        <v>13</v>
      </c>
      <c r="D135">
        <v>878.33</v>
      </c>
      <c r="E135">
        <v>3</v>
      </c>
      <c r="F135" t="s">
        <v>18</v>
      </c>
      <c r="G135" t="str">
        <f>CHOOSE(H135,"January","February","March","April","May","June","July","August","September","October","November","December")</f>
        <v>May</v>
      </c>
      <c r="H135">
        <f>MONTH(Table1[[#This Row],[Date]])</f>
        <v>5</v>
      </c>
      <c r="I135">
        <f>YEAR(Table1[[#This Row],[Date]])</f>
        <v>2022</v>
      </c>
    </row>
    <row r="136" spans="1:9" hidden="1" x14ac:dyDescent="0.35">
      <c r="A136" s="1">
        <v>44892</v>
      </c>
      <c r="B136" t="s">
        <v>7</v>
      </c>
      <c r="C136" t="s">
        <v>14</v>
      </c>
      <c r="D136">
        <v>482.7</v>
      </c>
      <c r="E136">
        <v>3</v>
      </c>
      <c r="F136" t="s">
        <v>16</v>
      </c>
      <c r="G136" t="str">
        <f>CHOOSE(H136,"January","February","March","April","May","June","July","August","September","October","November","December")</f>
        <v>November</v>
      </c>
      <c r="H136">
        <f>MONTH(Table1[[#This Row],[Date]])</f>
        <v>11</v>
      </c>
      <c r="I136">
        <f>YEAR(Table1[[#This Row],[Date]])</f>
        <v>2022</v>
      </c>
    </row>
    <row r="137" spans="1:9" hidden="1" x14ac:dyDescent="0.35">
      <c r="A137" s="1">
        <v>44755</v>
      </c>
      <c r="B137" t="s">
        <v>6</v>
      </c>
      <c r="C137" t="s">
        <v>11</v>
      </c>
      <c r="D137">
        <v>703.65</v>
      </c>
      <c r="E137">
        <v>3</v>
      </c>
      <c r="F137" t="s">
        <v>19</v>
      </c>
      <c r="G137" t="str">
        <f>CHOOSE(H137,"January","February","March","April","May","June","July","August","September","October","November","December")</f>
        <v>July</v>
      </c>
      <c r="H137">
        <f>MONTH(Table1[[#This Row],[Date]])</f>
        <v>7</v>
      </c>
      <c r="I137">
        <f>YEAR(Table1[[#This Row],[Date]])</f>
        <v>2022</v>
      </c>
    </row>
    <row r="138" spans="1:9" x14ac:dyDescent="0.35">
      <c r="A138" s="1">
        <v>45044</v>
      </c>
      <c r="B138" t="s">
        <v>6</v>
      </c>
      <c r="C138" t="s">
        <v>14</v>
      </c>
      <c r="D138" s="9">
        <v>1432.38</v>
      </c>
      <c r="E138">
        <v>2</v>
      </c>
      <c r="F138" t="s">
        <v>17</v>
      </c>
      <c r="G138" t="str">
        <f>CHOOSE(H138,"January","February","March","April","May","June","July","August","September","October","November","December")</f>
        <v>April</v>
      </c>
      <c r="H138">
        <f>MONTH(Table1[[#This Row],[Date]])</f>
        <v>4</v>
      </c>
      <c r="I138">
        <f>YEAR(Table1[[#This Row],[Date]])</f>
        <v>2023</v>
      </c>
    </row>
    <row r="139" spans="1:9" x14ac:dyDescent="0.35">
      <c r="A139" s="1">
        <v>45044</v>
      </c>
      <c r="B139" t="s">
        <v>6</v>
      </c>
      <c r="C139" t="s">
        <v>14</v>
      </c>
      <c r="D139" s="9">
        <v>244.58</v>
      </c>
      <c r="E139">
        <v>6</v>
      </c>
      <c r="F139" t="s">
        <v>19</v>
      </c>
      <c r="G139" t="str">
        <f>CHOOSE(H139,"January","February","March","April","May","June","July","August","September","October","November","December")</f>
        <v>April</v>
      </c>
      <c r="H139">
        <f>MONTH(Table1[[#This Row],[Date]])</f>
        <v>4</v>
      </c>
      <c r="I139">
        <f>YEAR(Table1[[#This Row],[Date]])</f>
        <v>2023</v>
      </c>
    </row>
    <row r="140" spans="1:9" hidden="1" x14ac:dyDescent="0.35">
      <c r="A140" s="1">
        <v>44875</v>
      </c>
      <c r="B140" t="s">
        <v>9</v>
      </c>
      <c r="C140" t="s">
        <v>11</v>
      </c>
      <c r="D140">
        <v>752.06</v>
      </c>
      <c r="E140">
        <v>3</v>
      </c>
      <c r="F140" t="s">
        <v>18</v>
      </c>
      <c r="G140" t="str">
        <f>CHOOSE(H140,"January","February","March","April","May","June","July","August","September","October","November","December")</f>
        <v>November</v>
      </c>
      <c r="H140">
        <f>MONTH(Table1[[#This Row],[Date]])</f>
        <v>11</v>
      </c>
      <c r="I140">
        <f>YEAR(Table1[[#This Row],[Date]])</f>
        <v>2022</v>
      </c>
    </row>
    <row r="141" spans="1:9" hidden="1" x14ac:dyDescent="0.35">
      <c r="A141" s="1">
        <v>44795</v>
      </c>
      <c r="B141" t="s">
        <v>8</v>
      </c>
      <c r="C141" t="s">
        <v>12</v>
      </c>
      <c r="D141">
        <v>363.42</v>
      </c>
      <c r="E141">
        <v>3</v>
      </c>
      <c r="F141" t="s">
        <v>16</v>
      </c>
      <c r="G141" t="str">
        <f>CHOOSE(H141,"January","February","March","April","May","June","July","August","September","October","November","December")</f>
        <v>August</v>
      </c>
      <c r="H141">
        <f>MONTH(Table1[[#This Row],[Date]])</f>
        <v>8</v>
      </c>
      <c r="I141">
        <f>YEAR(Table1[[#This Row],[Date]])</f>
        <v>2022</v>
      </c>
    </row>
    <row r="142" spans="1:9" hidden="1" x14ac:dyDescent="0.35">
      <c r="A142" s="1">
        <v>44590</v>
      </c>
      <c r="B142" t="s">
        <v>10</v>
      </c>
      <c r="C142" t="s">
        <v>11</v>
      </c>
      <c r="D142">
        <v>1465.35</v>
      </c>
      <c r="E142">
        <v>3</v>
      </c>
      <c r="F142" t="s">
        <v>15</v>
      </c>
      <c r="G142" t="str">
        <f>CHOOSE(H142,"January","February","March","April","May","June","July","August","September","October","November","December")</f>
        <v>January</v>
      </c>
      <c r="H142">
        <f>MONTH(Table1[[#This Row],[Date]])</f>
        <v>1</v>
      </c>
      <c r="I142">
        <f>YEAR(Table1[[#This Row],[Date]])</f>
        <v>2022</v>
      </c>
    </row>
    <row r="143" spans="1:9" x14ac:dyDescent="0.35">
      <c r="A143" s="1">
        <v>45046</v>
      </c>
      <c r="B143" t="s">
        <v>6</v>
      </c>
      <c r="C143" t="s">
        <v>11</v>
      </c>
      <c r="D143" s="9">
        <v>1882.97</v>
      </c>
      <c r="E143">
        <v>6</v>
      </c>
      <c r="F143" t="s">
        <v>15</v>
      </c>
      <c r="G143" t="str">
        <f>CHOOSE(H143,"January","February","March","April","May","June","July","August","September","October","November","December")</f>
        <v>April</v>
      </c>
      <c r="H143">
        <f>MONTH(Table1[[#This Row],[Date]])</f>
        <v>4</v>
      </c>
      <c r="I143">
        <f>YEAR(Table1[[#This Row],[Date]])</f>
        <v>2023</v>
      </c>
    </row>
    <row r="144" spans="1:9" x14ac:dyDescent="0.35">
      <c r="A144" s="1">
        <v>45047</v>
      </c>
      <c r="B144" t="s">
        <v>8</v>
      </c>
      <c r="C144" t="s">
        <v>14</v>
      </c>
      <c r="D144" s="9">
        <v>874.52</v>
      </c>
      <c r="E144">
        <v>5</v>
      </c>
      <c r="F144" t="s">
        <v>15</v>
      </c>
      <c r="G144" t="str">
        <f>CHOOSE(H144,"January","February","March","April","May","June","July","August","September","October","November","December")</f>
        <v>May</v>
      </c>
      <c r="H144">
        <f>MONTH(Table1[[#This Row],[Date]])</f>
        <v>5</v>
      </c>
      <c r="I144">
        <f>YEAR(Table1[[#This Row],[Date]])</f>
        <v>2023</v>
      </c>
    </row>
    <row r="145" spans="1:9" x14ac:dyDescent="0.35">
      <c r="A145" s="1">
        <v>45050</v>
      </c>
      <c r="B145" t="s">
        <v>9</v>
      </c>
      <c r="C145" t="s">
        <v>13</v>
      </c>
      <c r="D145" s="9">
        <v>1480.52</v>
      </c>
      <c r="E145">
        <v>8</v>
      </c>
      <c r="F145" t="s">
        <v>15</v>
      </c>
      <c r="G145" t="str">
        <f>CHOOSE(H145,"January","February","March","April","May","June","July","August","September","October","November","December")</f>
        <v>May</v>
      </c>
      <c r="H145">
        <f>MONTH(Table1[[#This Row],[Date]])</f>
        <v>5</v>
      </c>
      <c r="I145">
        <f>YEAR(Table1[[#This Row],[Date]])</f>
        <v>2023</v>
      </c>
    </row>
    <row r="146" spans="1:9" hidden="1" x14ac:dyDescent="0.35">
      <c r="A146" s="1">
        <v>44644</v>
      </c>
      <c r="B146" t="s">
        <v>9</v>
      </c>
      <c r="C146" t="s">
        <v>14</v>
      </c>
      <c r="D146">
        <v>1210.31</v>
      </c>
      <c r="E146">
        <v>4</v>
      </c>
      <c r="F146" t="s">
        <v>19</v>
      </c>
      <c r="G146" t="str">
        <f>CHOOSE(H146,"January","February","March","April","May","June","July","August","September","October","November","December")</f>
        <v>March</v>
      </c>
      <c r="H146">
        <f>MONTH(Table1[[#This Row],[Date]])</f>
        <v>3</v>
      </c>
      <c r="I146">
        <f>YEAR(Table1[[#This Row],[Date]])</f>
        <v>2022</v>
      </c>
    </row>
    <row r="147" spans="1:9" x14ac:dyDescent="0.35">
      <c r="A147" s="1">
        <v>45050</v>
      </c>
      <c r="B147" t="s">
        <v>9</v>
      </c>
      <c r="C147" t="s">
        <v>14</v>
      </c>
      <c r="D147" s="9">
        <v>697.51</v>
      </c>
      <c r="E147">
        <v>6</v>
      </c>
      <c r="F147" t="s">
        <v>16</v>
      </c>
      <c r="G147" t="str">
        <f>CHOOSE(H147,"January","February","March","April","May","June","July","August","September","October","November","December")</f>
        <v>May</v>
      </c>
      <c r="H147">
        <f>MONTH(Table1[[#This Row],[Date]])</f>
        <v>5</v>
      </c>
      <c r="I147">
        <f>YEAR(Table1[[#This Row],[Date]])</f>
        <v>2023</v>
      </c>
    </row>
    <row r="148" spans="1:9" hidden="1" x14ac:dyDescent="0.35">
      <c r="A148" s="1">
        <v>44749</v>
      </c>
      <c r="B148" t="s">
        <v>9</v>
      </c>
      <c r="C148" t="s">
        <v>14</v>
      </c>
      <c r="D148">
        <v>793.58</v>
      </c>
      <c r="E148">
        <v>4</v>
      </c>
      <c r="F148" t="s">
        <v>18</v>
      </c>
      <c r="G148" t="str">
        <f>CHOOSE(H148,"January","February","March","April","May","June","July","August","September","October","November","December")</f>
        <v>July</v>
      </c>
      <c r="H148">
        <f>MONTH(Table1[[#This Row],[Date]])</f>
        <v>7</v>
      </c>
      <c r="I148">
        <f>YEAR(Table1[[#This Row],[Date]])</f>
        <v>2022</v>
      </c>
    </row>
    <row r="149" spans="1:9" hidden="1" x14ac:dyDescent="0.35">
      <c r="A149" s="1">
        <v>44810</v>
      </c>
      <c r="B149" t="s">
        <v>8</v>
      </c>
      <c r="C149" t="s">
        <v>13</v>
      </c>
      <c r="D149">
        <v>569.16999999999996</v>
      </c>
      <c r="E149">
        <v>4</v>
      </c>
      <c r="F149" t="s">
        <v>16</v>
      </c>
      <c r="G149" t="str">
        <f>CHOOSE(H149,"January","February","March","April","May","June","July","August","September","October","November","December")</f>
        <v>September</v>
      </c>
      <c r="H149">
        <f>MONTH(Table1[[#This Row],[Date]])</f>
        <v>9</v>
      </c>
      <c r="I149">
        <f>YEAR(Table1[[#This Row],[Date]])</f>
        <v>2022</v>
      </c>
    </row>
    <row r="150" spans="1:9" hidden="1" x14ac:dyDescent="0.35">
      <c r="A150" s="1">
        <v>44762</v>
      </c>
      <c r="B150" t="s">
        <v>10</v>
      </c>
      <c r="C150" t="s">
        <v>11</v>
      </c>
      <c r="D150">
        <v>874.09</v>
      </c>
      <c r="E150">
        <v>4</v>
      </c>
      <c r="F150" t="s">
        <v>16</v>
      </c>
      <c r="G150" t="str">
        <f>CHOOSE(H150,"January","February","March","April","May","June","July","August","September","October","November","December")</f>
        <v>July</v>
      </c>
      <c r="H150">
        <f>MONTH(Table1[[#This Row],[Date]])</f>
        <v>7</v>
      </c>
      <c r="I150">
        <f>YEAR(Table1[[#This Row],[Date]])</f>
        <v>2022</v>
      </c>
    </row>
    <row r="151" spans="1:9" x14ac:dyDescent="0.35">
      <c r="A151" s="1">
        <v>45052</v>
      </c>
      <c r="B151" t="s">
        <v>7</v>
      </c>
      <c r="C151" t="s">
        <v>11</v>
      </c>
      <c r="D151" s="9">
        <v>1862.88</v>
      </c>
      <c r="E151">
        <v>10</v>
      </c>
      <c r="F151" t="s">
        <v>15</v>
      </c>
      <c r="G151" t="str">
        <f>CHOOSE(H151,"January","February","March","April","May","June","July","August","September","October","November","December")</f>
        <v>May</v>
      </c>
      <c r="H151">
        <f>MONTH(Table1[[#This Row],[Date]])</f>
        <v>5</v>
      </c>
      <c r="I151">
        <f>YEAR(Table1[[#This Row],[Date]])</f>
        <v>2023</v>
      </c>
    </row>
    <row r="152" spans="1:9" hidden="1" x14ac:dyDescent="0.35">
      <c r="A152" s="1">
        <v>44825</v>
      </c>
      <c r="B152" t="s">
        <v>7</v>
      </c>
      <c r="C152" t="s">
        <v>13</v>
      </c>
      <c r="D152">
        <v>1514.15</v>
      </c>
      <c r="E152">
        <v>4</v>
      </c>
      <c r="F152" t="s">
        <v>18</v>
      </c>
      <c r="G152" t="str">
        <f>CHOOSE(H152,"January","February","March","April","May","June","July","August","September","October","November","December")</f>
        <v>September</v>
      </c>
      <c r="H152">
        <f>MONTH(Table1[[#This Row],[Date]])</f>
        <v>9</v>
      </c>
      <c r="I152">
        <f>YEAR(Table1[[#This Row],[Date]])</f>
        <v>2022</v>
      </c>
    </row>
    <row r="153" spans="1:9" hidden="1" x14ac:dyDescent="0.35">
      <c r="A153" s="1">
        <v>44850</v>
      </c>
      <c r="B153" t="s">
        <v>9</v>
      </c>
      <c r="C153" t="s">
        <v>12</v>
      </c>
      <c r="D153">
        <v>1017.8</v>
      </c>
      <c r="E153">
        <v>4</v>
      </c>
      <c r="F153" t="s">
        <v>16</v>
      </c>
      <c r="G153" t="str">
        <f>CHOOSE(H153,"January","February","March","April","May","June","July","August","September","October","November","December")</f>
        <v>October</v>
      </c>
      <c r="H153">
        <f>MONTH(Table1[[#This Row],[Date]])</f>
        <v>10</v>
      </c>
      <c r="I153">
        <f>YEAR(Table1[[#This Row],[Date]])</f>
        <v>2022</v>
      </c>
    </row>
    <row r="154" spans="1:9" x14ac:dyDescent="0.35">
      <c r="A154" s="1">
        <v>45052</v>
      </c>
      <c r="B154" t="s">
        <v>8</v>
      </c>
      <c r="C154" t="s">
        <v>13</v>
      </c>
      <c r="D154" s="9">
        <v>1026.71</v>
      </c>
      <c r="E154">
        <v>6</v>
      </c>
      <c r="F154" t="s">
        <v>19</v>
      </c>
      <c r="G154" t="str">
        <f>CHOOSE(H154,"January","February","March","April","May","June","July","August","September","October","November","December")</f>
        <v>May</v>
      </c>
      <c r="H154">
        <f>MONTH(Table1[[#This Row],[Date]])</f>
        <v>5</v>
      </c>
      <c r="I154">
        <f>YEAR(Table1[[#This Row],[Date]])</f>
        <v>2023</v>
      </c>
    </row>
    <row r="155" spans="1:9" hidden="1" x14ac:dyDescent="0.35">
      <c r="A155" s="1">
        <v>44594</v>
      </c>
      <c r="B155" t="s">
        <v>6</v>
      </c>
      <c r="C155" t="s">
        <v>13</v>
      </c>
      <c r="D155">
        <v>1212.3699999999999</v>
      </c>
      <c r="E155">
        <v>4</v>
      </c>
      <c r="F155" t="s">
        <v>19</v>
      </c>
      <c r="G155" t="str">
        <f>CHOOSE(H155,"January","February","March","April","May","June","July","August","September","October","November","December")</f>
        <v>February</v>
      </c>
      <c r="H155">
        <f>MONTH(Table1[[#This Row],[Date]])</f>
        <v>2</v>
      </c>
      <c r="I155">
        <f>YEAR(Table1[[#This Row],[Date]])</f>
        <v>2022</v>
      </c>
    </row>
    <row r="156" spans="1:9" hidden="1" x14ac:dyDescent="0.35">
      <c r="A156" s="1">
        <v>44829</v>
      </c>
      <c r="B156" t="s">
        <v>10</v>
      </c>
      <c r="C156" t="s">
        <v>12</v>
      </c>
      <c r="D156">
        <v>1791.64</v>
      </c>
      <c r="E156">
        <v>4</v>
      </c>
      <c r="F156" t="s">
        <v>15</v>
      </c>
      <c r="G156" t="str">
        <f>CHOOSE(H156,"January","February","March","April","May","June","July","August","September","October","November","December")</f>
        <v>September</v>
      </c>
      <c r="H156">
        <f>MONTH(Table1[[#This Row],[Date]])</f>
        <v>9</v>
      </c>
      <c r="I156">
        <f>YEAR(Table1[[#This Row],[Date]])</f>
        <v>2022</v>
      </c>
    </row>
    <row r="157" spans="1:9" x14ac:dyDescent="0.35">
      <c r="A157" s="1">
        <v>45054</v>
      </c>
      <c r="B157" t="s">
        <v>8</v>
      </c>
      <c r="C157" t="s">
        <v>11</v>
      </c>
      <c r="D157" s="9">
        <v>1311.74</v>
      </c>
      <c r="E157">
        <v>7</v>
      </c>
      <c r="F157" t="s">
        <v>17</v>
      </c>
      <c r="G157" t="str">
        <f>CHOOSE(H157,"January","February","March","April","May","June","July","August","September","October","November","December")</f>
        <v>May</v>
      </c>
      <c r="H157">
        <f>MONTH(Table1[[#This Row],[Date]])</f>
        <v>5</v>
      </c>
      <c r="I157">
        <f>YEAR(Table1[[#This Row],[Date]])</f>
        <v>2023</v>
      </c>
    </row>
    <row r="158" spans="1:9" hidden="1" x14ac:dyDescent="0.35">
      <c r="A158" s="1">
        <v>44924</v>
      </c>
      <c r="B158" t="s">
        <v>10</v>
      </c>
      <c r="C158" t="s">
        <v>12</v>
      </c>
      <c r="D158">
        <v>1157.72</v>
      </c>
      <c r="E158">
        <v>4</v>
      </c>
      <c r="F158" t="s">
        <v>19</v>
      </c>
      <c r="G158" t="str">
        <f>CHOOSE(H158,"January","February","March","April","May","June","July","August","September","October","November","December")</f>
        <v>December</v>
      </c>
      <c r="H158">
        <f>MONTH(Table1[[#This Row],[Date]])</f>
        <v>12</v>
      </c>
      <c r="I158">
        <f>YEAR(Table1[[#This Row],[Date]])</f>
        <v>2022</v>
      </c>
    </row>
    <row r="159" spans="1:9" hidden="1" x14ac:dyDescent="0.35">
      <c r="A159" s="1">
        <v>44913</v>
      </c>
      <c r="B159" t="s">
        <v>8</v>
      </c>
      <c r="C159" t="s">
        <v>14</v>
      </c>
      <c r="D159">
        <v>1791.88</v>
      </c>
      <c r="E159">
        <v>4</v>
      </c>
      <c r="F159" t="s">
        <v>15</v>
      </c>
      <c r="G159" t="str">
        <f>CHOOSE(H159,"January","February","March","April","May","June","July","August","September","October","November","December")</f>
        <v>December</v>
      </c>
      <c r="H159">
        <f>MONTH(Table1[[#This Row],[Date]])</f>
        <v>12</v>
      </c>
      <c r="I159">
        <f>YEAR(Table1[[#This Row],[Date]])</f>
        <v>2022</v>
      </c>
    </row>
    <row r="160" spans="1:9" x14ac:dyDescent="0.35">
      <c r="A160" s="1">
        <v>45059</v>
      </c>
      <c r="B160" t="s">
        <v>6</v>
      </c>
      <c r="C160" t="s">
        <v>11</v>
      </c>
      <c r="D160" s="9">
        <v>1715.48</v>
      </c>
      <c r="E160">
        <v>8</v>
      </c>
      <c r="F160" t="s">
        <v>16</v>
      </c>
      <c r="G160" t="str">
        <f>CHOOSE(H160,"January","February","March","April","May","June","July","August","September","October","November","December")</f>
        <v>May</v>
      </c>
      <c r="H160">
        <f>MONTH(Table1[[#This Row],[Date]])</f>
        <v>5</v>
      </c>
      <c r="I160">
        <f>YEAR(Table1[[#This Row],[Date]])</f>
        <v>2023</v>
      </c>
    </row>
    <row r="161" spans="1:9" x14ac:dyDescent="0.35">
      <c r="A161" s="1">
        <v>45059</v>
      </c>
      <c r="B161" t="s">
        <v>8</v>
      </c>
      <c r="C161" t="s">
        <v>11</v>
      </c>
      <c r="D161" s="9">
        <v>1517.76</v>
      </c>
      <c r="E161">
        <v>1</v>
      </c>
      <c r="F161" t="s">
        <v>18</v>
      </c>
      <c r="G161" t="str">
        <f>CHOOSE(H161,"January","February","March","April","May","June","July","August","September","October","November","December")</f>
        <v>May</v>
      </c>
      <c r="H161">
        <f>MONTH(Table1[[#This Row],[Date]])</f>
        <v>5</v>
      </c>
      <c r="I161">
        <f>YEAR(Table1[[#This Row],[Date]])</f>
        <v>2023</v>
      </c>
    </row>
    <row r="162" spans="1:9" x14ac:dyDescent="0.35">
      <c r="A162" s="1">
        <v>45060</v>
      </c>
      <c r="B162" t="s">
        <v>8</v>
      </c>
      <c r="C162" t="s">
        <v>14</v>
      </c>
      <c r="D162" s="9">
        <v>1072.58</v>
      </c>
      <c r="E162">
        <v>3</v>
      </c>
      <c r="F162" t="s">
        <v>19</v>
      </c>
      <c r="G162" t="str">
        <f>CHOOSE(H162,"January","February","March","April","May","June","July","August","September","October","November","December")</f>
        <v>May</v>
      </c>
      <c r="H162">
        <f>MONTH(Table1[[#This Row],[Date]])</f>
        <v>5</v>
      </c>
      <c r="I162">
        <f>YEAR(Table1[[#This Row],[Date]])</f>
        <v>2023</v>
      </c>
    </row>
    <row r="163" spans="1:9" x14ac:dyDescent="0.35">
      <c r="A163" s="1">
        <v>45062</v>
      </c>
      <c r="B163" t="s">
        <v>8</v>
      </c>
      <c r="C163" t="s">
        <v>12</v>
      </c>
      <c r="D163" s="9">
        <v>554.89</v>
      </c>
      <c r="E163">
        <v>10</v>
      </c>
      <c r="F163" t="s">
        <v>16</v>
      </c>
      <c r="G163" t="str">
        <f>CHOOSE(H163,"January","February","March","April","May","June","July","August","September","October","November","December")</f>
        <v>May</v>
      </c>
      <c r="H163">
        <f>MONTH(Table1[[#This Row],[Date]])</f>
        <v>5</v>
      </c>
      <c r="I163">
        <f>YEAR(Table1[[#This Row],[Date]])</f>
        <v>2023</v>
      </c>
    </row>
    <row r="164" spans="1:9" hidden="1" x14ac:dyDescent="0.35">
      <c r="A164" s="1">
        <v>44604</v>
      </c>
      <c r="B164" t="s">
        <v>9</v>
      </c>
      <c r="C164" t="s">
        <v>14</v>
      </c>
      <c r="D164">
        <v>1265.73</v>
      </c>
      <c r="E164">
        <v>4</v>
      </c>
      <c r="F164" t="s">
        <v>18</v>
      </c>
      <c r="G164" t="str">
        <f>CHOOSE(H164,"January","February","March","April","May","June","July","August","September","October","November","December")</f>
        <v>February</v>
      </c>
      <c r="H164">
        <f>MONTH(Table1[[#This Row],[Date]])</f>
        <v>2</v>
      </c>
      <c r="I164">
        <f>YEAR(Table1[[#This Row],[Date]])</f>
        <v>2022</v>
      </c>
    </row>
    <row r="165" spans="1:9" hidden="1" x14ac:dyDescent="0.35">
      <c r="A165" s="1">
        <v>44777</v>
      </c>
      <c r="B165" t="s">
        <v>8</v>
      </c>
      <c r="C165" t="s">
        <v>14</v>
      </c>
      <c r="D165">
        <v>1423.74</v>
      </c>
      <c r="E165">
        <v>4</v>
      </c>
      <c r="F165" t="s">
        <v>16</v>
      </c>
      <c r="G165" t="str">
        <f>CHOOSE(H165,"January","February","March","April","May","June","July","August","September","October","November","December")</f>
        <v>August</v>
      </c>
      <c r="H165">
        <f>MONTH(Table1[[#This Row],[Date]])</f>
        <v>8</v>
      </c>
      <c r="I165">
        <f>YEAR(Table1[[#This Row],[Date]])</f>
        <v>2022</v>
      </c>
    </row>
    <row r="166" spans="1:9" hidden="1" x14ac:dyDescent="0.35">
      <c r="A166" s="1">
        <v>44795</v>
      </c>
      <c r="B166" t="s">
        <v>7</v>
      </c>
      <c r="C166" t="s">
        <v>11</v>
      </c>
      <c r="D166">
        <v>1409.15</v>
      </c>
      <c r="E166">
        <v>4</v>
      </c>
      <c r="F166" t="s">
        <v>18</v>
      </c>
      <c r="G166" t="str">
        <f>CHOOSE(H166,"January","February","March","April","May","June","July","August","September","October","November","December")</f>
        <v>August</v>
      </c>
      <c r="H166">
        <f>MONTH(Table1[[#This Row],[Date]])</f>
        <v>8</v>
      </c>
      <c r="I166">
        <f>YEAR(Table1[[#This Row],[Date]])</f>
        <v>2022</v>
      </c>
    </row>
    <row r="167" spans="1:9" x14ac:dyDescent="0.35">
      <c r="A167" s="1">
        <v>45065</v>
      </c>
      <c r="B167" t="s">
        <v>9</v>
      </c>
      <c r="C167" t="s">
        <v>13</v>
      </c>
      <c r="D167" s="9">
        <v>940.71</v>
      </c>
      <c r="E167">
        <v>6</v>
      </c>
      <c r="F167" t="s">
        <v>15</v>
      </c>
      <c r="G167" t="str">
        <f>CHOOSE(H167,"January","February","March","April","May","June","July","August","September","October","November","December")</f>
        <v>May</v>
      </c>
      <c r="H167">
        <f>MONTH(Table1[[#This Row],[Date]])</f>
        <v>5</v>
      </c>
      <c r="I167">
        <f>YEAR(Table1[[#This Row],[Date]])</f>
        <v>2023</v>
      </c>
    </row>
    <row r="168" spans="1:9" x14ac:dyDescent="0.35">
      <c r="A168" s="1">
        <v>45065</v>
      </c>
      <c r="B168" t="s">
        <v>9</v>
      </c>
      <c r="C168" t="s">
        <v>13</v>
      </c>
      <c r="D168" s="9">
        <v>250.49</v>
      </c>
      <c r="E168">
        <v>2</v>
      </c>
      <c r="F168" t="s">
        <v>16</v>
      </c>
      <c r="G168" t="str">
        <f>CHOOSE(H168,"January","February","March","April","May","June","July","August","September","October","November","December")</f>
        <v>May</v>
      </c>
      <c r="H168">
        <f>MONTH(Table1[[#This Row],[Date]])</f>
        <v>5</v>
      </c>
      <c r="I168">
        <f>YEAR(Table1[[#This Row],[Date]])</f>
        <v>2023</v>
      </c>
    </row>
    <row r="169" spans="1:9" hidden="1" x14ac:dyDescent="0.35">
      <c r="A169" s="1">
        <v>44763</v>
      </c>
      <c r="B169" t="s">
        <v>8</v>
      </c>
      <c r="C169" t="s">
        <v>12</v>
      </c>
      <c r="D169">
        <v>418.39</v>
      </c>
      <c r="E169">
        <v>4</v>
      </c>
      <c r="F169" t="s">
        <v>19</v>
      </c>
      <c r="G169" t="str">
        <f>CHOOSE(H169,"January","February","March","April","May","June","July","August","September","October","November","December")</f>
        <v>July</v>
      </c>
      <c r="H169">
        <f>MONTH(Table1[[#This Row],[Date]])</f>
        <v>7</v>
      </c>
      <c r="I169">
        <f>YEAR(Table1[[#This Row],[Date]])</f>
        <v>2022</v>
      </c>
    </row>
    <row r="170" spans="1:9" x14ac:dyDescent="0.35">
      <c r="A170" s="1">
        <v>45070</v>
      </c>
      <c r="B170" t="s">
        <v>9</v>
      </c>
      <c r="C170" t="s">
        <v>12</v>
      </c>
      <c r="D170" s="9">
        <v>517.45000000000005</v>
      </c>
      <c r="E170">
        <v>8</v>
      </c>
      <c r="F170" t="s">
        <v>17</v>
      </c>
      <c r="G170" t="str">
        <f>CHOOSE(H170,"January","February","March","April","May","June","July","August","September","October","November","December")</f>
        <v>May</v>
      </c>
      <c r="H170">
        <f>MONTH(Table1[[#This Row],[Date]])</f>
        <v>5</v>
      </c>
      <c r="I170">
        <f>YEAR(Table1[[#This Row],[Date]])</f>
        <v>2023</v>
      </c>
    </row>
    <row r="171" spans="1:9" hidden="1" x14ac:dyDescent="0.35">
      <c r="A171" s="1">
        <v>44902</v>
      </c>
      <c r="B171" t="s">
        <v>9</v>
      </c>
      <c r="C171" t="s">
        <v>11</v>
      </c>
      <c r="D171">
        <v>864.83</v>
      </c>
      <c r="E171">
        <v>4</v>
      </c>
      <c r="F171" t="s">
        <v>16</v>
      </c>
      <c r="G171" t="str">
        <f>CHOOSE(H171,"January","February","March","April","May","June","July","August","September","October","November","December")</f>
        <v>December</v>
      </c>
      <c r="H171">
        <f>MONTH(Table1[[#This Row],[Date]])</f>
        <v>12</v>
      </c>
      <c r="I171">
        <f>YEAR(Table1[[#This Row],[Date]])</f>
        <v>2022</v>
      </c>
    </row>
    <row r="172" spans="1:9" hidden="1" x14ac:dyDescent="0.35">
      <c r="A172" s="1">
        <v>44820</v>
      </c>
      <c r="B172" t="s">
        <v>9</v>
      </c>
      <c r="C172" t="s">
        <v>13</v>
      </c>
      <c r="D172">
        <v>1061.1400000000001</v>
      </c>
      <c r="E172">
        <v>4</v>
      </c>
      <c r="F172" t="s">
        <v>18</v>
      </c>
      <c r="G172" t="str">
        <f>CHOOSE(H172,"January","February","March","April","May","June","July","August","September","October","November","December")</f>
        <v>September</v>
      </c>
      <c r="H172">
        <f>MONTH(Table1[[#This Row],[Date]])</f>
        <v>9</v>
      </c>
      <c r="I172">
        <f>YEAR(Table1[[#This Row],[Date]])</f>
        <v>2022</v>
      </c>
    </row>
    <row r="173" spans="1:9" x14ac:dyDescent="0.35">
      <c r="A173" s="1">
        <v>45072</v>
      </c>
      <c r="B173" t="s">
        <v>6</v>
      </c>
      <c r="C173" t="s">
        <v>14</v>
      </c>
      <c r="D173" s="9">
        <v>1899.89</v>
      </c>
      <c r="E173">
        <v>5</v>
      </c>
      <c r="F173" t="s">
        <v>17</v>
      </c>
      <c r="G173" t="str">
        <f>CHOOSE(H173,"January","February","March","April","May","June","July","August","September","October","November","December")</f>
        <v>May</v>
      </c>
      <c r="H173">
        <f>MONTH(Table1[[#This Row],[Date]])</f>
        <v>5</v>
      </c>
      <c r="I173">
        <f>YEAR(Table1[[#This Row],[Date]])</f>
        <v>2023</v>
      </c>
    </row>
    <row r="174" spans="1:9" x14ac:dyDescent="0.35">
      <c r="A174" s="1">
        <v>45073</v>
      </c>
      <c r="B174" t="s">
        <v>9</v>
      </c>
      <c r="C174" t="s">
        <v>13</v>
      </c>
      <c r="D174" s="9">
        <v>1374.84</v>
      </c>
      <c r="E174">
        <v>4</v>
      </c>
      <c r="F174" t="s">
        <v>17</v>
      </c>
      <c r="G174" t="str">
        <f>CHOOSE(H174,"January","February","March","April","May","June","July","August","September","October","November","December")</f>
        <v>May</v>
      </c>
      <c r="H174">
        <f>MONTH(Table1[[#This Row],[Date]])</f>
        <v>5</v>
      </c>
      <c r="I174">
        <f>YEAR(Table1[[#This Row],[Date]])</f>
        <v>2023</v>
      </c>
    </row>
    <row r="175" spans="1:9" hidden="1" x14ac:dyDescent="0.35">
      <c r="A175" s="1">
        <v>44667</v>
      </c>
      <c r="B175" t="s">
        <v>7</v>
      </c>
      <c r="C175" t="s">
        <v>13</v>
      </c>
      <c r="D175">
        <v>1719.8</v>
      </c>
      <c r="E175">
        <v>4</v>
      </c>
      <c r="F175" t="s">
        <v>15</v>
      </c>
      <c r="G175" t="str">
        <f>CHOOSE(H175,"January","February","March","April","May","June","July","August","September","October","November","December")</f>
        <v>April</v>
      </c>
      <c r="H175">
        <f>MONTH(Table1[[#This Row],[Date]])</f>
        <v>4</v>
      </c>
      <c r="I175">
        <f>YEAR(Table1[[#This Row],[Date]])</f>
        <v>2022</v>
      </c>
    </row>
    <row r="176" spans="1:9" x14ac:dyDescent="0.35">
      <c r="A176" s="1">
        <v>45075</v>
      </c>
      <c r="B176" t="s">
        <v>10</v>
      </c>
      <c r="C176" t="s">
        <v>14</v>
      </c>
      <c r="D176" s="9">
        <v>446.14</v>
      </c>
      <c r="E176">
        <v>4</v>
      </c>
      <c r="F176" t="s">
        <v>17</v>
      </c>
      <c r="G176" t="str">
        <f>CHOOSE(H176,"January","February","March","April","May","June","July","August","September","October","November","December")</f>
        <v>May</v>
      </c>
      <c r="H176">
        <f>MONTH(Table1[[#This Row],[Date]])</f>
        <v>5</v>
      </c>
      <c r="I176">
        <f>YEAR(Table1[[#This Row],[Date]])</f>
        <v>2023</v>
      </c>
    </row>
    <row r="177" spans="1:9" x14ac:dyDescent="0.35">
      <c r="A177" s="1">
        <v>45078</v>
      </c>
      <c r="B177" t="s">
        <v>10</v>
      </c>
      <c r="C177" t="s">
        <v>14</v>
      </c>
      <c r="D177" s="9">
        <v>1462.61</v>
      </c>
      <c r="E177">
        <v>3</v>
      </c>
      <c r="F177" t="s">
        <v>18</v>
      </c>
      <c r="G177" t="str">
        <f>CHOOSE(H177,"January","February","March","April","May","June","July","August","September","October","November","December")</f>
        <v>June</v>
      </c>
      <c r="H177">
        <f>MONTH(Table1[[#This Row],[Date]])</f>
        <v>6</v>
      </c>
      <c r="I177">
        <f>YEAR(Table1[[#This Row],[Date]])</f>
        <v>2023</v>
      </c>
    </row>
    <row r="178" spans="1:9" x14ac:dyDescent="0.35">
      <c r="A178" s="1">
        <v>45078</v>
      </c>
      <c r="B178" t="s">
        <v>10</v>
      </c>
      <c r="C178" t="s">
        <v>12</v>
      </c>
      <c r="D178" s="9">
        <v>601.07000000000005</v>
      </c>
      <c r="E178">
        <v>1</v>
      </c>
      <c r="F178" t="s">
        <v>15</v>
      </c>
      <c r="G178" t="str">
        <f>CHOOSE(H178,"January","February","March","April","May","June","July","August","September","October","November","December")</f>
        <v>June</v>
      </c>
      <c r="H178">
        <f>MONTH(Table1[[#This Row],[Date]])</f>
        <v>6</v>
      </c>
      <c r="I178">
        <f>YEAR(Table1[[#This Row],[Date]])</f>
        <v>2023</v>
      </c>
    </row>
    <row r="179" spans="1:9" x14ac:dyDescent="0.35">
      <c r="A179" s="1">
        <v>45080</v>
      </c>
      <c r="B179" t="s">
        <v>8</v>
      </c>
      <c r="C179" t="s">
        <v>13</v>
      </c>
      <c r="D179" s="9">
        <v>1875.04</v>
      </c>
      <c r="E179">
        <v>5</v>
      </c>
      <c r="F179" t="s">
        <v>18</v>
      </c>
      <c r="G179" t="str">
        <f>CHOOSE(H179,"January","February","March","April","May","June","July","August","September","October","November","December")</f>
        <v>June</v>
      </c>
      <c r="H179">
        <f>MONTH(Table1[[#This Row],[Date]])</f>
        <v>6</v>
      </c>
      <c r="I179">
        <f>YEAR(Table1[[#This Row],[Date]])</f>
        <v>2023</v>
      </c>
    </row>
    <row r="180" spans="1:9" x14ac:dyDescent="0.35">
      <c r="A180" s="1">
        <v>45080</v>
      </c>
      <c r="B180" t="s">
        <v>7</v>
      </c>
      <c r="C180" t="s">
        <v>11</v>
      </c>
      <c r="D180" s="9">
        <v>1738.24</v>
      </c>
      <c r="E180">
        <v>2</v>
      </c>
      <c r="F180" t="s">
        <v>19</v>
      </c>
      <c r="G180" t="str">
        <f>CHOOSE(H180,"January","February","March","April","May","June","July","August","September","October","November","December")</f>
        <v>June</v>
      </c>
      <c r="H180">
        <f>MONTH(Table1[[#This Row],[Date]])</f>
        <v>6</v>
      </c>
      <c r="I180">
        <f>YEAR(Table1[[#This Row],[Date]])</f>
        <v>2023</v>
      </c>
    </row>
    <row r="181" spans="1:9" x14ac:dyDescent="0.35">
      <c r="A181" s="1">
        <v>45081</v>
      </c>
      <c r="B181" t="s">
        <v>6</v>
      </c>
      <c r="C181" t="s">
        <v>11</v>
      </c>
      <c r="D181" s="9">
        <v>1201.96</v>
      </c>
      <c r="E181">
        <v>9</v>
      </c>
      <c r="F181" t="s">
        <v>17</v>
      </c>
      <c r="G181" t="str">
        <f>CHOOSE(H181,"January","February","March","April","May","June","July","August","September","October","November","December")</f>
        <v>June</v>
      </c>
      <c r="H181">
        <f>MONTH(Table1[[#This Row],[Date]])</f>
        <v>6</v>
      </c>
      <c r="I181">
        <f>YEAR(Table1[[#This Row],[Date]])</f>
        <v>2023</v>
      </c>
    </row>
    <row r="182" spans="1:9" x14ac:dyDescent="0.35">
      <c r="A182" s="1">
        <v>45082</v>
      </c>
      <c r="B182" t="s">
        <v>7</v>
      </c>
      <c r="C182" t="s">
        <v>12</v>
      </c>
      <c r="D182" s="9">
        <v>1496.91</v>
      </c>
      <c r="E182">
        <v>4</v>
      </c>
      <c r="F182" t="s">
        <v>18</v>
      </c>
      <c r="G182" t="str">
        <f>CHOOSE(H182,"January","February","March","April","May","June","July","August","September","October","November","December")</f>
        <v>June</v>
      </c>
      <c r="H182">
        <f>MONTH(Table1[[#This Row],[Date]])</f>
        <v>6</v>
      </c>
      <c r="I182">
        <f>YEAR(Table1[[#This Row],[Date]])</f>
        <v>2023</v>
      </c>
    </row>
    <row r="183" spans="1:9" x14ac:dyDescent="0.35">
      <c r="A183" s="1">
        <v>45082</v>
      </c>
      <c r="B183" t="s">
        <v>7</v>
      </c>
      <c r="C183" t="s">
        <v>14</v>
      </c>
      <c r="D183" s="9">
        <v>1144.3900000000001</v>
      </c>
      <c r="E183">
        <v>7</v>
      </c>
      <c r="F183" t="s">
        <v>18</v>
      </c>
      <c r="G183" t="str">
        <f>CHOOSE(H183,"January","February","March","April","May","June","July","August","September","October","November","December")</f>
        <v>June</v>
      </c>
      <c r="H183">
        <f>MONTH(Table1[[#This Row],[Date]])</f>
        <v>6</v>
      </c>
      <c r="I183">
        <f>YEAR(Table1[[#This Row],[Date]])</f>
        <v>2023</v>
      </c>
    </row>
    <row r="184" spans="1:9" x14ac:dyDescent="0.35">
      <c r="A184" s="1">
        <v>45084</v>
      </c>
      <c r="B184" t="s">
        <v>9</v>
      </c>
      <c r="C184" t="s">
        <v>12</v>
      </c>
      <c r="D184" s="9">
        <v>1973.06</v>
      </c>
      <c r="E184">
        <v>2</v>
      </c>
      <c r="F184" t="s">
        <v>18</v>
      </c>
      <c r="G184" t="str">
        <f>CHOOSE(H184,"January","February","March","April","May","June","July","August","September","October","November","December")</f>
        <v>June</v>
      </c>
      <c r="H184">
        <f>MONTH(Table1[[#This Row],[Date]])</f>
        <v>6</v>
      </c>
      <c r="I184">
        <f>YEAR(Table1[[#This Row],[Date]])</f>
        <v>2023</v>
      </c>
    </row>
    <row r="185" spans="1:9" x14ac:dyDescent="0.35">
      <c r="A185" s="1">
        <v>45084</v>
      </c>
      <c r="B185" t="s">
        <v>6</v>
      </c>
      <c r="C185" t="s">
        <v>12</v>
      </c>
      <c r="D185" s="9">
        <v>597.83000000000004</v>
      </c>
      <c r="E185">
        <v>3</v>
      </c>
      <c r="F185" t="s">
        <v>18</v>
      </c>
      <c r="G185" t="str">
        <f>CHOOSE(H185,"January","February","March","April","May","June","July","August","September","October","November","December")</f>
        <v>June</v>
      </c>
      <c r="H185">
        <f>MONTH(Table1[[#This Row],[Date]])</f>
        <v>6</v>
      </c>
      <c r="I185">
        <f>YEAR(Table1[[#This Row],[Date]])</f>
        <v>2023</v>
      </c>
    </row>
    <row r="186" spans="1:9" x14ac:dyDescent="0.35">
      <c r="A186" s="1">
        <v>45085</v>
      </c>
      <c r="B186" t="s">
        <v>6</v>
      </c>
      <c r="C186" t="s">
        <v>11</v>
      </c>
      <c r="D186" s="9">
        <v>714.71</v>
      </c>
      <c r="E186">
        <v>5</v>
      </c>
      <c r="F186" t="s">
        <v>15</v>
      </c>
      <c r="G186" t="str">
        <f>CHOOSE(H186,"January","February","March","April","May","June","July","August","September","October","November","December")</f>
        <v>June</v>
      </c>
      <c r="H186">
        <f>MONTH(Table1[[#This Row],[Date]])</f>
        <v>6</v>
      </c>
      <c r="I186">
        <f>YEAR(Table1[[#This Row],[Date]])</f>
        <v>2023</v>
      </c>
    </row>
    <row r="187" spans="1:9" hidden="1" x14ac:dyDescent="0.35">
      <c r="A187" s="1">
        <v>44804</v>
      </c>
      <c r="B187" t="s">
        <v>9</v>
      </c>
      <c r="C187" t="s">
        <v>13</v>
      </c>
      <c r="D187">
        <v>1248.28</v>
      </c>
      <c r="E187">
        <v>4</v>
      </c>
      <c r="F187" t="s">
        <v>19</v>
      </c>
      <c r="G187" t="str">
        <f>CHOOSE(H187,"January","February","March","April","May","June","July","August","September","October","November","December")</f>
        <v>August</v>
      </c>
      <c r="H187">
        <f>MONTH(Table1[[#This Row],[Date]])</f>
        <v>8</v>
      </c>
      <c r="I187">
        <f>YEAR(Table1[[#This Row],[Date]])</f>
        <v>2022</v>
      </c>
    </row>
    <row r="188" spans="1:9" hidden="1" x14ac:dyDescent="0.35">
      <c r="A188" s="1">
        <v>44741</v>
      </c>
      <c r="B188" t="s">
        <v>8</v>
      </c>
      <c r="C188" t="s">
        <v>12</v>
      </c>
      <c r="D188">
        <v>559.95000000000005</v>
      </c>
      <c r="E188">
        <v>4</v>
      </c>
      <c r="F188" t="s">
        <v>15</v>
      </c>
      <c r="G188" t="str">
        <f>CHOOSE(H188,"January","February","March","April","May","June","July","August","September","October","November","December")</f>
        <v>June</v>
      </c>
      <c r="H188">
        <f>MONTH(Table1[[#This Row],[Date]])</f>
        <v>6</v>
      </c>
      <c r="I188">
        <f>YEAR(Table1[[#This Row],[Date]])</f>
        <v>2022</v>
      </c>
    </row>
    <row r="189" spans="1:9" hidden="1" x14ac:dyDescent="0.35">
      <c r="A189" s="1">
        <v>44853</v>
      </c>
      <c r="B189" t="s">
        <v>8</v>
      </c>
      <c r="C189" t="s">
        <v>11</v>
      </c>
      <c r="D189">
        <v>1543.33</v>
      </c>
      <c r="E189">
        <v>4</v>
      </c>
      <c r="F189" t="s">
        <v>18</v>
      </c>
      <c r="G189" t="str">
        <f>CHOOSE(H189,"January","February","March","April","May","June","July","August","September","October","November","December")</f>
        <v>October</v>
      </c>
      <c r="H189">
        <f>MONTH(Table1[[#This Row],[Date]])</f>
        <v>10</v>
      </c>
      <c r="I189">
        <f>YEAR(Table1[[#This Row],[Date]])</f>
        <v>2022</v>
      </c>
    </row>
    <row r="190" spans="1:9" hidden="1" x14ac:dyDescent="0.35">
      <c r="A190" s="1">
        <v>44639</v>
      </c>
      <c r="B190" t="s">
        <v>6</v>
      </c>
      <c r="C190" t="s">
        <v>13</v>
      </c>
      <c r="D190">
        <v>1738.02</v>
      </c>
      <c r="E190">
        <v>4</v>
      </c>
      <c r="F190" t="s">
        <v>18</v>
      </c>
      <c r="G190" t="str">
        <f>CHOOSE(H190,"January","February","March","April","May","June","July","August","September","October","November","December")</f>
        <v>March</v>
      </c>
      <c r="H190">
        <f>MONTH(Table1[[#This Row],[Date]])</f>
        <v>3</v>
      </c>
      <c r="I190">
        <f>YEAR(Table1[[#This Row],[Date]])</f>
        <v>2022</v>
      </c>
    </row>
    <row r="191" spans="1:9" hidden="1" x14ac:dyDescent="0.35">
      <c r="A191" s="1">
        <v>44920</v>
      </c>
      <c r="B191" t="s">
        <v>9</v>
      </c>
      <c r="C191" t="s">
        <v>12</v>
      </c>
      <c r="D191">
        <v>386.01</v>
      </c>
      <c r="E191">
        <v>5</v>
      </c>
      <c r="F191" t="s">
        <v>19</v>
      </c>
      <c r="G191" t="str">
        <f>CHOOSE(H191,"January","February","March","April","May","June","July","August","September","October","November","December")</f>
        <v>December</v>
      </c>
      <c r="H191">
        <f>MONTH(Table1[[#This Row],[Date]])</f>
        <v>12</v>
      </c>
      <c r="I191">
        <f>YEAR(Table1[[#This Row],[Date]])</f>
        <v>2022</v>
      </c>
    </row>
    <row r="192" spans="1:9" x14ac:dyDescent="0.35">
      <c r="A192" s="1">
        <v>45088</v>
      </c>
      <c r="B192" t="s">
        <v>6</v>
      </c>
      <c r="C192" t="s">
        <v>11</v>
      </c>
      <c r="D192" s="9">
        <v>1801.63</v>
      </c>
      <c r="E192">
        <v>7</v>
      </c>
      <c r="F192" t="s">
        <v>16</v>
      </c>
      <c r="G192" t="str">
        <f>CHOOSE(H192,"January","February","March","April","May","June","July","August","September","October","November","December")</f>
        <v>June</v>
      </c>
      <c r="H192">
        <f>MONTH(Table1[[#This Row],[Date]])</f>
        <v>6</v>
      </c>
      <c r="I192">
        <f>YEAR(Table1[[#This Row],[Date]])</f>
        <v>2023</v>
      </c>
    </row>
    <row r="193" spans="1:9" hidden="1" x14ac:dyDescent="0.35">
      <c r="A193" s="1">
        <v>44724</v>
      </c>
      <c r="B193" t="s">
        <v>6</v>
      </c>
      <c r="C193" t="s">
        <v>14</v>
      </c>
      <c r="D193">
        <v>148.29</v>
      </c>
      <c r="E193">
        <v>5</v>
      </c>
      <c r="F193" t="s">
        <v>18</v>
      </c>
      <c r="G193" t="str">
        <f>CHOOSE(H193,"January","February","March","April","May","June","July","August","September","October","November","December")</f>
        <v>June</v>
      </c>
      <c r="H193">
        <f>MONTH(Table1[[#This Row],[Date]])</f>
        <v>6</v>
      </c>
      <c r="I193">
        <f>YEAR(Table1[[#This Row],[Date]])</f>
        <v>2022</v>
      </c>
    </row>
    <row r="194" spans="1:9" hidden="1" x14ac:dyDescent="0.35">
      <c r="A194" s="1">
        <v>44790</v>
      </c>
      <c r="B194" t="s">
        <v>7</v>
      </c>
      <c r="C194" t="s">
        <v>13</v>
      </c>
      <c r="D194">
        <v>319.23</v>
      </c>
      <c r="E194">
        <v>5</v>
      </c>
      <c r="F194" t="s">
        <v>15</v>
      </c>
      <c r="G194" t="str">
        <f>CHOOSE(H194,"January","February","March","April","May","June","July","August","September","October","November","December")</f>
        <v>August</v>
      </c>
      <c r="H194">
        <f>MONTH(Table1[[#This Row],[Date]])</f>
        <v>8</v>
      </c>
      <c r="I194">
        <f>YEAR(Table1[[#This Row],[Date]])</f>
        <v>2022</v>
      </c>
    </row>
    <row r="195" spans="1:9" x14ac:dyDescent="0.35">
      <c r="A195" s="1">
        <v>45089</v>
      </c>
      <c r="B195" t="s">
        <v>6</v>
      </c>
      <c r="C195" t="s">
        <v>12</v>
      </c>
      <c r="D195" s="9">
        <v>1551.06</v>
      </c>
      <c r="E195">
        <v>6</v>
      </c>
      <c r="F195" t="s">
        <v>15</v>
      </c>
      <c r="G195" t="str">
        <f>CHOOSE(H195,"January","February","March","April","May","June","July","August","September","October","November","December")</f>
        <v>June</v>
      </c>
      <c r="H195">
        <f>MONTH(Table1[[#This Row],[Date]])</f>
        <v>6</v>
      </c>
      <c r="I195">
        <f>YEAR(Table1[[#This Row],[Date]])</f>
        <v>2023</v>
      </c>
    </row>
    <row r="196" spans="1:9" x14ac:dyDescent="0.35">
      <c r="A196" s="1">
        <v>45089</v>
      </c>
      <c r="B196" t="s">
        <v>9</v>
      </c>
      <c r="C196" t="s">
        <v>14</v>
      </c>
      <c r="D196" s="9">
        <v>569.16</v>
      </c>
      <c r="E196">
        <v>4</v>
      </c>
      <c r="F196" t="s">
        <v>17</v>
      </c>
      <c r="G196" t="str">
        <f>CHOOSE(H196,"January","February","March","April","May","June","July","August","September","October","November","December")</f>
        <v>June</v>
      </c>
      <c r="H196">
        <f>MONTH(Table1[[#This Row],[Date]])</f>
        <v>6</v>
      </c>
      <c r="I196">
        <f>YEAR(Table1[[#This Row],[Date]])</f>
        <v>2023</v>
      </c>
    </row>
    <row r="197" spans="1:9" x14ac:dyDescent="0.35">
      <c r="A197" s="1">
        <v>45091</v>
      </c>
      <c r="B197" t="s">
        <v>8</v>
      </c>
      <c r="C197" t="s">
        <v>11</v>
      </c>
      <c r="D197" s="9">
        <v>646.54</v>
      </c>
      <c r="E197">
        <v>6</v>
      </c>
      <c r="F197" t="s">
        <v>16</v>
      </c>
      <c r="G197" t="str">
        <f>CHOOSE(H197,"January","February","March","April","May","June","July","August","September","October","November","December")</f>
        <v>June</v>
      </c>
      <c r="H197">
        <f>MONTH(Table1[[#This Row],[Date]])</f>
        <v>6</v>
      </c>
      <c r="I197">
        <f>YEAR(Table1[[#This Row],[Date]])</f>
        <v>2023</v>
      </c>
    </row>
    <row r="198" spans="1:9" hidden="1" x14ac:dyDescent="0.35">
      <c r="A198" s="1">
        <v>44617</v>
      </c>
      <c r="B198" t="s">
        <v>6</v>
      </c>
      <c r="C198" t="s">
        <v>11</v>
      </c>
      <c r="D198">
        <v>1136.05</v>
      </c>
      <c r="E198">
        <v>5</v>
      </c>
      <c r="F198" t="s">
        <v>16</v>
      </c>
      <c r="G198" t="str">
        <f>CHOOSE(H198,"January","February","March","April","May","June","July","August","September","October","November","December")</f>
        <v>February</v>
      </c>
      <c r="H198">
        <f>MONTH(Table1[[#This Row],[Date]])</f>
        <v>2</v>
      </c>
      <c r="I198">
        <f>YEAR(Table1[[#This Row],[Date]])</f>
        <v>2022</v>
      </c>
    </row>
    <row r="199" spans="1:9" x14ac:dyDescent="0.35">
      <c r="A199" s="1">
        <v>45092</v>
      </c>
      <c r="B199" t="s">
        <v>6</v>
      </c>
      <c r="C199" t="s">
        <v>12</v>
      </c>
      <c r="D199" s="9">
        <v>772.6</v>
      </c>
      <c r="E199">
        <v>4</v>
      </c>
      <c r="F199" t="s">
        <v>19</v>
      </c>
      <c r="G199" t="str">
        <f>CHOOSE(H199,"January","February","March","April","May","June","July","August","September","October","November","December")</f>
        <v>June</v>
      </c>
      <c r="H199">
        <f>MONTH(Table1[[#This Row],[Date]])</f>
        <v>6</v>
      </c>
      <c r="I199">
        <f>YEAR(Table1[[#This Row],[Date]])</f>
        <v>2023</v>
      </c>
    </row>
    <row r="200" spans="1:9" x14ac:dyDescent="0.35">
      <c r="A200" s="1">
        <v>45093</v>
      </c>
      <c r="B200" t="s">
        <v>8</v>
      </c>
      <c r="C200" t="s">
        <v>13</v>
      </c>
      <c r="D200" s="9">
        <v>623.26</v>
      </c>
      <c r="E200">
        <v>6</v>
      </c>
      <c r="F200" t="s">
        <v>19</v>
      </c>
      <c r="G200" t="str">
        <f>CHOOSE(H200,"January","February","March","April","May","June","July","August","September","October","November","December")</f>
        <v>June</v>
      </c>
      <c r="H200">
        <f>MONTH(Table1[[#This Row],[Date]])</f>
        <v>6</v>
      </c>
      <c r="I200">
        <f>YEAR(Table1[[#This Row],[Date]])</f>
        <v>2023</v>
      </c>
    </row>
    <row r="201" spans="1:9" hidden="1" x14ac:dyDescent="0.35">
      <c r="A201" s="1">
        <v>44789</v>
      </c>
      <c r="B201" t="s">
        <v>8</v>
      </c>
      <c r="C201" t="s">
        <v>11</v>
      </c>
      <c r="D201">
        <v>496.69</v>
      </c>
      <c r="E201">
        <v>5</v>
      </c>
      <c r="F201" t="s">
        <v>15</v>
      </c>
      <c r="G201" t="str">
        <f>CHOOSE(H201,"January","February","March","April","May","June","July","August","September","October","November","December")</f>
        <v>August</v>
      </c>
      <c r="H201">
        <f>MONTH(Table1[[#This Row],[Date]])</f>
        <v>8</v>
      </c>
      <c r="I201">
        <f>YEAR(Table1[[#This Row],[Date]])</f>
        <v>2022</v>
      </c>
    </row>
    <row r="202" spans="1:9" x14ac:dyDescent="0.35">
      <c r="A202" s="1">
        <v>45094</v>
      </c>
      <c r="B202" t="s">
        <v>10</v>
      </c>
      <c r="C202" t="s">
        <v>12</v>
      </c>
      <c r="D202" s="9">
        <v>358.85</v>
      </c>
      <c r="E202">
        <v>5</v>
      </c>
      <c r="F202" t="s">
        <v>16</v>
      </c>
      <c r="G202" t="str">
        <f>CHOOSE(H202,"January","February","March","April","May","June","July","August","September","October","November","December")</f>
        <v>June</v>
      </c>
      <c r="H202">
        <f>MONTH(Table1[[#This Row],[Date]])</f>
        <v>6</v>
      </c>
      <c r="I202">
        <f>YEAR(Table1[[#This Row],[Date]])</f>
        <v>2023</v>
      </c>
    </row>
    <row r="203" spans="1:9" hidden="1" x14ac:dyDescent="0.35">
      <c r="A203" s="1">
        <v>44775</v>
      </c>
      <c r="B203" t="s">
        <v>9</v>
      </c>
      <c r="C203" t="s">
        <v>13</v>
      </c>
      <c r="D203">
        <v>147.46</v>
      </c>
      <c r="E203">
        <v>5</v>
      </c>
      <c r="F203" t="s">
        <v>15</v>
      </c>
      <c r="G203" t="str">
        <f>CHOOSE(H203,"January","February","March","April","May","June","July","August","September","October","November","December")</f>
        <v>August</v>
      </c>
      <c r="H203">
        <f>MONTH(Table1[[#This Row],[Date]])</f>
        <v>8</v>
      </c>
      <c r="I203">
        <f>YEAR(Table1[[#This Row],[Date]])</f>
        <v>2022</v>
      </c>
    </row>
    <row r="204" spans="1:9" x14ac:dyDescent="0.35">
      <c r="A204" s="1">
        <v>45097</v>
      </c>
      <c r="B204" t="s">
        <v>9</v>
      </c>
      <c r="C204" t="s">
        <v>14</v>
      </c>
      <c r="D204" s="9">
        <v>1920.09</v>
      </c>
      <c r="E204">
        <v>7</v>
      </c>
      <c r="F204" t="s">
        <v>16</v>
      </c>
      <c r="G204" t="str">
        <f>CHOOSE(H204,"January","February","March","April","May","June","July","August","September","October","November","December")</f>
        <v>June</v>
      </c>
      <c r="H204">
        <f>MONTH(Table1[[#This Row],[Date]])</f>
        <v>6</v>
      </c>
      <c r="I204">
        <f>YEAR(Table1[[#This Row],[Date]])</f>
        <v>2023</v>
      </c>
    </row>
    <row r="205" spans="1:9" hidden="1" x14ac:dyDescent="0.35">
      <c r="A205" s="1">
        <v>44836</v>
      </c>
      <c r="B205" t="s">
        <v>7</v>
      </c>
      <c r="C205" t="s">
        <v>13</v>
      </c>
      <c r="D205">
        <v>787.2</v>
      </c>
      <c r="E205">
        <v>5</v>
      </c>
      <c r="F205" t="s">
        <v>16</v>
      </c>
      <c r="G205" t="str">
        <f>CHOOSE(H205,"January","February","March","April","May","June","July","August","September","October","November","December")</f>
        <v>October</v>
      </c>
      <c r="H205">
        <f>MONTH(Table1[[#This Row],[Date]])</f>
        <v>10</v>
      </c>
      <c r="I205">
        <f>YEAR(Table1[[#This Row],[Date]])</f>
        <v>2022</v>
      </c>
    </row>
    <row r="206" spans="1:9" x14ac:dyDescent="0.35">
      <c r="A206" s="1">
        <v>45098</v>
      </c>
      <c r="B206" t="s">
        <v>10</v>
      </c>
      <c r="C206" t="s">
        <v>13</v>
      </c>
      <c r="D206" s="9">
        <v>1173.1099999999999</v>
      </c>
      <c r="E206">
        <v>3</v>
      </c>
      <c r="F206" t="s">
        <v>19</v>
      </c>
      <c r="G206" t="str">
        <f>CHOOSE(H206,"January","February","March","April","May","June","July","August","September","October","November","December")</f>
        <v>June</v>
      </c>
      <c r="H206">
        <f>MONTH(Table1[[#This Row],[Date]])</f>
        <v>6</v>
      </c>
      <c r="I206">
        <f>YEAR(Table1[[#This Row],[Date]])</f>
        <v>2023</v>
      </c>
    </row>
    <row r="207" spans="1:9" hidden="1" x14ac:dyDescent="0.35">
      <c r="A207" s="1">
        <v>44615</v>
      </c>
      <c r="B207" t="s">
        <v>8</v>
      </c>
      <c r="C207" t="s">
        <v>11</v>
      </c>
      <c r="D207">
        <v>1224.1099999999999</v>
      </c>
      <c r="E207">
        <v>5</v>
      </c>
      <c r="F207" t="s">
        <v>16</v>
      </c>
      <c r="G207" t="str">
        <f>CHOOSE(H207,"January","February","March","April","May","June","July","August","September","October","November","December")</f>
        <v>February</v>
      </c>
      <c r="H207">
        <f>MONTH(Table1[[#This Row],[Date]])</f>
        <v>2</v>
      </c>
      <c r="I207">
        <f>YEAR(Table1[[#This Row],[Date]])</f>
        <v>2022</v>
      </c>
    </row>
    <row r="208" spans="1:9" x14ac:dyDescent="0.35">
      <c r="A208" s="1">
        <v>45099</v>
      </c>
      <c r="B208" t="s">
        <v>7</v>
      </c>
      <c r="C208" t="s">
        <v>12</v>
      </c>
      <c r="D208" s="9">
        <v>1570.92</v>
      </c>
      <c r="E208">
        <v>10</v>
      </c>
      <c r="F208" t="s">
        <v>16</v>
      </c>
      <c r="G208" t="str">
        <f>CHOOSE(H208,"January","February","March","April","May","June","July","August","September","October","November","December")</f>
        <v>June</v>
      </c>
      <c r="H208">
        <f>MONTH(Table1[[#This Row],[Date]])</f>
        <v>6</v>
      </c>
      <c r="I208">
        <f>YEAR(Table1[[#This Row],[Date]])</f>
        <v>2023</v>
      </c>
    </row>
    <row r="209" spans="1:9" hidden="1" x14ac:dyDescent="0.35">
      <c r="A209" s="1">
        <v>44654</v>
      </c>
      <c r="B209" t="s">
        <v>7</v>
      </c>
      <c r="C209" t="s">
        <v>14</v>
      </c>
      <c r="D209">
        <v>1252.1099999999999</v>
      </c>
      <c r="E209">
        <v>5</v>
      </c>
      <c r="F209" t="s">
        <v>19</v>
      </c>
      <c r="G209" t="str">
        <f>CHOOSE(H209,"January","February","March","April","May","June","July","August","September","October","November","December")</f>
        <v>April</v>
      </c>
      <c r="H209">
        <f>MONTH(Table1[[#This Row],[Date]])</f>
        <v>4</v>
      </c>
      <c r="I209">
        <f>YEAR(Table1[[#This Row],[Date]])</f>
        <v>2022</v>
      </c>
    </row>
    <row r="210" spans="1:9" hidden="1" x14ac:dyDescent="0.35">
      <c r="A210" s="1">
        <v>44895</v>
      </c>
      <c r="B210" t="s">
        <v>10</v>
      </c>
      <c r="C210" t="s">
        <v>13</v>
      </c>
      <c r="D210">
        <v>187.23</v>
      </c>
      <c r="E210">
        <v>5</v>
      </c>
      <c r="F210" t="s">
        <v>16</v>
      </c>
      <c r="G210" t="str">
        <f>CHOOSE(H210,"January","February","March","April","May","June","July","August","September","October","November","December")</f>
        <v>November</v>
      </c>
      <c r="H210">
        <f>MONTH(Table1[[#This Row],[Date]])</f>
        <v>11</v>
      </c>
      <c r="I210">
        <f>YEAR(Table1[[#This Row],[Date]])</f>
        <v>2022</v>
      </c>
    </row>
    <row r="211" spans="1:9" hidden="1" x14ac:dyDescent="0.35">
      <c r="A211" s="1">
        <v>44771</v>
      </c>
      <c r="B211" t="s">
        <v>9</v>
      </c>
      <c r="C211" t="s">
        <v>11</v>
      </c>
      <c r="D211">
        <v>461.07</v>
      </c>
      <c r="E211">
        <v>5</v>
      </c>
      <c r="F211" t="s">
        <v>18</v>
      </c>
      <c r="G211" t="str">
        <f>CHOOSE(H211,"January","February","March","April","May","June","July","August","September","October","November","December")</f>
        <v>July</v>
      </c>
      <c r="H211">
        <f>MONTH(Table1[[#This Row],[Date]])</f>
        <v>7</v>
      </c>
      <c r="I211">
        <f>YEAR(Table1[[#This Row],[Date]])</f>
        <v>2022</v>
      </c>
    </row>
    <row r="212" spans="1:9" x14ac:dyDescent="0.35">
      <c r="A212" s="1">
        <v>45099</v>
      </c>
      <c r="B212" t="s">
        <v>9</v>
      </c>
      <c r="C212" t="s">
        <v>14</v>
      </c>
      <c r="D212" s="9">
        <v>903.07</v>
      </c>
      <c r="E212">
        <v>7</v>
      </c>
      <c r="F212" t="s">
        <v>19</v>
      </c>
      <c r="G212" t="str">
        <f>CHOOSE(H212,"January","February","March","April","May","June","July","August","September","October","November","December")</f>
        <v>June</v>
      </c>
      <c r="H212">
        <f>MONTH(Table1[[#This Row],[Date]])</f>
        <v>6</v>
      </c>
      <c r="I212">
        <f>YEAR(Table1[[#This Row],[Date]])</f>
        <v>2023</v>
      </c>
    </row>
    <row r="213" spans="1:9" hidden="1" x14ac:dyDescent="0.35">
      <c r="A213" s="1">
        <v>44884</v>
      </c>
      <c r="B213" t="s">
        <v>6</v>
      </c>
      <c r="C213" t="s">
        <v>12</v>
      </c>
      <c r="D213">
        <v>587.04</v>
      </c>
      <c r="E213">
        <v>5</v>
      </c>
      <c r="F213" t="s">
        <v>17</v>
      </c>
      <c r="G213" t="str">
        <f>CHOOSE(H213,"January","February","March","April","May","June","July","August","September","October","November","December")</f>
        <v>November</v>
      </c>
      <c r="H213">
        <f>MONTH(Table1[[#This Row],[Date]])</f>
        <v>11</v>
      </c>
      <c r="I213">
        <f>YEAR(Table1[[#This Row],[Date]])</f>
        <v>2022</v>
      </c>
    </row>
    <row r="214" spans="1:9" hidden="1" x14ac:dyDescent="0.35">
      <c r="A214" s="1">
        <v>44859</v>
      </c>
      <c r="B214" t="s">
        <v>6</v>
      </c>
      <c r="C214" t="s">
        <v>11</v>
      </c>
      <c r="D214">
        <v>1208.02</v>
      </c>
      <c r="E214">
        <v>5</v>
      </c>
      <c r="F214" t="s">
        <v>17</v>
      </c>
      <c r="G214" t="str">
        <f>CHOOSE(H214,"January","February","March","April","May","June","July","August","September","October","November","December")</f>
        <v>October</v>
      </c>
      <c r="H214">
        <f>MONTH(Table1[[#This Row],[Date]])</f>
        <v>10</v>
      </c>
      <c r="I214">
        <f>YEAR(Table1[[#This Row],[Date]])</f>
        <v>2022</v>
      </c>
    </row>
    <row r="215" spans="1:9" x14ac:dyDescent="0.35">
      <c r="A215" s="1">
        <v>45100</v>
      </c>
      <c r="B215" t="s">
        <v>6</v>
      </c>
      <c r="C215" t="s">
        <v>12</v>
      </c>
      <c r="D215" s="9">
        <v>1848.96</v>
      </c>
      <c r="E215">
        <v>8</v>
      </c>
      <c r="F215" t="s">
        <v>17</v>
      </c>
      <c r="G215" t="str">
        <f>CHOOSE(H215,"January","February","March","April","May","June","July","August","September","October","November","December")</f>
        <v>June</v>
      </c>
      <c r="H215">
        <f>MONTH(Table1[[#This Row],[Date]])</f>
        <v>6</v>
      </c>
      <c r="I215">
        <f>YEAR(Table1[[#This Row],[Date]])</f>
        <v>2023</v>
      </c>
    </row>
    <row r="216" spans="1:9" hidden="1" x14ac:dyDescent="0.35">
      <c r="A216" s="1">
        <v>44850</v>
      </c>
      <c r="B216" t="s">
        <v>9</v>
      </c>
      <c r="C216" t="s">
        <v>13</v>
      </c>
      <c r="D216">
        <v>802.04</v>
      </c>
      <c r="E216">
        <v>5</v>
      </c>
      <c r="F216" t="s">
        <v>17</v>
      </c>
      <c r="G216" t="str">
        <f>CHOOSE(H216,"January","February","March","April","May","June","July","August","September","October","November","December")</f>
        <v>October</v>
      </c>
      <c r="H216">
        <f>MONTH(Table1[[#This Row],[Date]])</f>
        <v>10</v>
      </c>
      <c r="I216">
        <f>YEAR(Table1[[#This Row],[Date]])</f>
        <v>2022</v>
      </c>
    </row>
    <row r="217" spans="1:9" hidden="1" x14ac:dyDescent="0.35">
      <c r="A217" s="1">
        <v>44762</v>
      </c>
      <c r="B217" t="s">
        <v>8</v>
      </c>
      <c r="C217" t="s">
        <v>11</v>
      </c>
      <c r="D217">
        <v>1138.76</v>
      </c>
      <c r="E217">
        <v>5</v>
      </c>
      <c r="F217" t="s">
        <v>17</v>
      </c>
      <c r="G217" t="str">
        <f>CHOOSE(H217,"January","February","March","April","May","June","July","August","September","October","November","December")</f>
        <v>July</v>
      </c>
      <c r="H217">
        <f>MONTH(Table1[[#This Row],[Date]])</f>
        <v>7</v>
      </c>
      <c r="I217">
        <f>YEAR(Table1[[#This Row],[Date]])</f>
        <v>2022</v>
      </c>
    </row>
    <row r="218" spans="1:9" hidden="1" x14ac:dyDescent="0.35">
      <c r="A218" s="1">
        <v>44670</v>
      </c>
      <c r="B218" t="s">
        <v>7</v>
      </c>
      <c r="C218" t="s">
        <v>14</v>
      </c>
      <c r="D218">
        <v>1158.17</v>
      </c>
      <c r="E218">
        <v>5</v>
      </c>
      <c r="F218" t="s">
        <v>16</v>
      </c>
      <c r="G218" t="str">
        <f>CHOOSE(H218,"January","February","March","April","May","June","July","August","September","October","November","December")</f>
        <v>April</v>
      </c>
      <c r="H218">
        <f>MONTH(Table1[[#This Row],[Date]])</f>
        <v>4</v>
      </c>
      <c r="I218">
        <f>YEAR(Table1[[#This Row],[Date]])</f>
        <v>2022</v>
      </c>
    </row>
    <row r="219" spans="1:9" x14ac:dyDescent="0.35">
      <c r="A219" s="1">
        <v>45100</v>
      </c>
      <c r="B219" t="s">
        <v>8</v>
      </c>
      <c r="C219" t="s">
        <v>12</v>
      </c>
      <c r="D219" s="9">
        <v>1841.65</v>
      </c>
      <c r="E219">
        <v>6</v>
      </c>
      <c r="F219" t="s">
        <v>16</v>
      </c>
      <c r="G219" t="str">
        <f>CHOOSE(H219,"January","February","March","April","May","June","July","August","September","October","November","December")</f>
        <v>June</v>
      </c>
      <c r="H219">
        <f>MONTH(Table1[[#This Row],[Date]])</f>
        <v>6</v>
      </c>
      <c r="I219">
        <f>YEAR(Table1[[#This Row],[Date]])</f>
        <v>2023</v>
      </c>
    </row>
    <row r="220" spans="1:9" x14ac:dyDescent="0.35">
      <c r="A220" s="1">
        <v>45101</v>
      </c>
      <c r="B220" t="s">
        <v>7</v>
      </c>
      <c r="C220" t="s">
        <v>11</v>
      </c>
      <c r="D220" s="9">
        <v>861.08</v>
      </c>
      <c r="E220">
        <v>9</v>
      </c>
      <c r="F220" t="s">
        <v>17</v>
      </c>
      <c r="G220" t="str">
        <f>CHOOSE(H220,"January","February","March","April","May","June","July","August","September","October","November","December")</f>
        <v>June</v>
      </c>
      <c r="H220">
        <f>MONTH(Table1[[#This Row],[Date]])</f>
        <v>6</v>
      </c>
      <c r="I220">
        <f>YEAR(Table1[[#This Row],[Date]])</f>
        <v>2023</v>
      </c>
    </row>
    <row r="221" spans="1:9" hidden="1" x14ac:dyDescent="0.35">
      <c r="A221" s="1">
        <v>44692</v>
      </c>
      <c r="B221" t="s">
        <v>10</v>
      </c>
      <c r="C221" t="s">
        <v>12</v>
      </c>
      <c r="D221">
        <v>502.38</v>
      </c>
      <c r="E221">
        <v>5</v>
      </c>
      <c r="F221" t="s">
        <v>17</v>
      </c>
      <c r="G221" t="str">
        <f>CHOOSE(H221,"January","February","March","April","May","June","July","August","September","October","November","December")</f>
        <v>May</v>
      </c>
      <c r="H221">
        <f>MONTH(Table1[[#This Row],[Date]])</f>
        <v>5</v>
      </c>
      <c r="I221">
        <f>YEAR(Table1[[#This Row],[Date]])</f>
        <v>2022</v>
      </c>
    </row>
    <row r="222" spans="1:9" x14ac:dyDescent="0.35">
      <c r="A222" s="1">
        <v>45102</v>
      </c>
      <c r="B222" t="s">
        <v>10</v>
      </c>
      <c r="C222" t="s">
        <v>13</v>
      </c>
      <c r="D222" s="9">
        <v>1763.45</v>
      </c>
      <c r="E222">
        <v>4</v>
      </c>
      <c r="F222" t="s">
        <v>17</v>
      </c>
      <c r="G222" t="str">
        <f>CHOOSE(H222,"January","February","March","April","May","June","July","August","September","October","November","December")</f>
        <v>June</v>
      </c>
      <c r="H222">
        <f>MONTH(Table1[[#This Row],[Date]])</f>
        <v>6</v>
      </c>
      <c r="I222">
        <f>YEAR(Table1[[#This Row],[Date]])</f>
        <v>2023</v>
      </c>
    </row>
    <row r="223" spans="1:9" x14ac:dyDescent="0.35">
      <c r="A223" s="1">
        <v>45104</v>
      </c>
      <c r="B223" t="s">
        <v>6</v>
      </c>
      <c r="C223" t="s">
        <v>14</v>
      </c>
      <c r="D223" s="9">
        <v>1308.72</v>
      </c>
      <c r="E223">
        <v>8</v>
      </c>
      <c r="F223" t="s">
        <v>16</v>
      </c>
      <c r="G223" t="str">
        <f>CHOOSE(H223,"January","February","March","April","May","June","July","August","September","October","November","December")</f>
        <v>June</v>
      </c>
      <c r="H223">
        <f>MONTH(Table1[[#This Row],[Date]])</f>
        <v>6</v>
      </c>
      <c r="I223">
        <f>YEAR(Table1[[#This Row],[Date]])</f>
        <v>2023</v>
      </c>
    </row>
    <row r="224" spans="1:9" x14ac:dyDescent="0.35">
      <c r="A224" s="1">
        <v>45104</v>
      </c>
      <c r="B224" t="s">
        <v>7</v>
      </c>
      <c r="C224" t="s">
        <v>11</v>
      </c>
      <c r="D224" s="9">
        <v>476.16</v>
      </c>
      <c r="E224">
        <v>6</v>
      </c>
      <c r="F224" t="s">
        <v>15</v>
      </c>
      <c r="G224" t="str">
        <f>CHOOSE(H224,"January","February","March","April","May","June","July","August","September","October","November","December")</f>
        <v>June</v>
      </c>
      <c r="H224">
        <f>MONTH(Table1[[#This Row],[Date]])</f>
        <v>6</v>
      </c>
      <c r="I224">
        <f>YEAR(Table1[[#This Row],[Date]])</f>
        <v>2023</v>
      </c>
    </row>
    <row r="225" spans="1:9" x14ac:dyDescent="0.35">
      <c r="A225" s="1">
        <v>45104</v>
      </c>
      <c r="B225" t="s">
        <v>6</v>
      </c>
      <c r="C225" t="s">
        <v>11</v>
      </c>
      <c r="D225" s="9">
        <v>248.2</v>
      </c>
      <c r="E225">
        <v>5</v>
      </c>
      <c r="F225" t="s">
        <v>15</v>
      </c>
      <c r="G225" t="str">
        <f>CHOOSE(H225,"January","February","March","April","May","June","July","August","September","October","November","December")</f>
        <v>June</v>
      </c>
      <c r="H225">
        <f>MONTH(Table1[[#This Row],[Date]])</f>
        <v>6</v>
      </c>
      <c r="I225">
        <f>YEAR(Table1[[#This Row],[Date]])</f>
        <v>2023</v>
      </c>
    </row>
    <row r="226" spans="1:9" x14ac:dyDescent="0.35">
      <c r="A226" s="1">
        <v>45104</v>
      </c>
      <c r="B226" t="s">
        <v>8</v>
      </c>
      <c r="C226" t="s">
        <v>12</v>
      </c>
      <c r="D226" s="9">
        <v>176.38</v>
      </c>
      <c r="E226">
        <v>4</v>
      </c>
      <c r="F226" t="s">
        <v>18</v>
      </c>
      <c r="G226" t="str">
        <f>CHOOSE(H226,"January","February","March","April","May","June","July","August","September","October","November","December")</f>
        <v>June</v>
      </c>
      <c r="H226">
        <f>MONTH(Table1[[#This Row],[Date]])</f>
        <v>6</v>
      </c>
      <c r="I226">
        <f>YEAR(Table1[[#This Row],[Date]])</f>
        <v>2023</v>
      </c>
    </row>
    <row r="227" spans="1:9" x14ac:dyDescent="0.35">
      <c r="A227" s="1">
        <v>45106</v>
      </c>
      <c r="B227" t="s">
        <v>10</v>
      </c>
      <c r="C227" t="s">
        <v>13</v>
      </c>
      <c r="D227" s="9">
        <v>1489.26</v>
      </c>
      <c r="E227">
        <v>4</v>
      </c>
      <c r="F227" t="s">
        <v>19</v>
      </c>
      <c r="G227" t="str">
        <f>CHOOSE(H227,"January","February","March","April","May","June","July","August","September","October","November","December")</f>
        <v>June</v>
      </c>
      <c r="H227">
        <f>MONTH(Table1[[#This Row],[Date]])</f>
        <v>6</v>
      </c>
      <c r="I227">
        <f>YEAR(Table1[[#This Row],[Date]])</f>
        <v>2023</v>
      </c>
    </row>
    <row r="228" spans="1:9" hidden="1" x14ac:dyDescent="0.35">
      <c r="A228" s="1">
        <v>44831</v>
      </c>
      <c r="B228" t="s">
        <v>6</v>
      </c>
      <c r="C228" t="s">
        <v>13</v>
      </c>
      <c r="D228">
        <v>324.76</v>
      </c>
      <c r="E228">
        <v>5</v>
      </c>
      <c r="F228" t="s">
        <v>16</v>
      </c>
      <c r="G228" t="str">
        <f>CHOOSE(H228,"January","February","March","April","May","June","July","August","September","October","November","December")</f>
        <v>September</v>
      </c>
      <c r="H228">
        <f>MONTH(Table1[[#This Row],[Date]])</f>
        <v>9</v>
      </c>
      <c r="I228">
        <f>YEAR(Table1[[#This Row],[Date]])</f>
        <v>2022</v>
      </c>
    </row>
    <row r="229" spans="1:9" hidden="1" x14ac:dyDescent="0.35">
      <c r="A229" s="1">
        <v>44768</v>
      </c>
      <c r="B229" t="s">
        <v>8</v>
      </c>
      <c r="C229" t="s">
        <v>14</v>
      </c>
      <c r="D229">
        <v>1885.74</v>
      </c>
      <c r="E229">
        <v>5</v>
      </c>
      <c r="F229" t="s">
        <v>17</v>
      </c>
      <c r="G229" t="str">
        <f>CHOOSE(H229,"January","February","March","April","May","June","July","August","September","October","November","December")</f>
        <v>July</v>
      </c>
      <c r="H229">
        <f>MONTH(Table1[[#This Row],[Date]])</f>
        <v>7</v>
      </c>
      <c r="I229">
        <f>YEAR(Table1[[#This Row],[Date]])</f>
        <v>2022</v>
      </c>
    </row>
    <row r="230" spans="1:9" x14ac:dyDescent="0.35">
      <c r="A230" s="1">
        <v>45107</v>
      </c>
      <c r="B230" t="s">
        <v>7</v>
      </c>
      <c r="C230" t="s">
        <v>11</v>
      </c>
      <c r="D230" s="9">
        <v>1450.46</v>
      </c>
      <c r="E230">
        <v>6</v>
      </c>
      <c r="F230" t="s">
        <v>19</v>
      </c>
      <c r="G230" t="str">
        <f>CHOOSE(H230,"January","February","March","April","May","June","July","August","September","October","November","December")</f>
        <v>June</v>
      </c>
      <c r="H230">
        <f>MONTH(Table1[[#This Row],[Date]])</f>
        <v>6</v>
      </c>
      <c r="I230">
        <f>YEAR(Table1[[#This Row],[Date]])</f>
        <v>2023</v>
      </c>
    </row>
    <row r="231" spans="1:9" x14ac:dyDescent="0.35">
      <c r="A231" s="1">
        <v>45108</v>
      </c>
      <c r="B231" t="s">
        <v>8</v>
      </c>
      <c r="C231" t="s">
        <v>11</v>
      </c>
      <c r="D231" s="9">
        <v>1551.31</v>
      </c>
      <c r="E231">
        <v>9</v>
      </c>
      <c r="F231" t="s">
        <v>18</v>
      </c>
      <c r="G231" t="str">
        <f>CHOOSE(H231,"January","February","March","April","May","June","July","August","September","October","November","December")</f>
        <v>July</v>
      </c>
      <c r="H231">
        <f>MONTH(Table1[[#This Row],[Date]])</f>
        <v>7</v>
      </c>
      <c r="I231">
        <f>YEAR(Table1[[#This Row],[Date]])</f>
        <v>2023</v>
      </c>
    </row>
    <row r="232" spans="1:9" hidden="1" x14ac:dyDescent="0.35">
      <c r="A232" s="1">
        <v>44744</v>
      </c>
      <c r="B232" t="s">
        <v>8</v>
      </c>
      <c r="C232" t="s">
        <v>12</v>
      </c>
      <c r="D232">
        <v>1285.06</v>
      </c>
      <c r="E232">
        <v>5</v>
      </c>
      <c r="F232" t="s">
        <v>15</v>
      </c>
      <c r="G232" t="str">
        <f>CHOOSE(H232,"January","February","March","April","May","June","July","August","September","October","November","December")</f>
        <v>July</v>
      </c>
      <c r="H232">
        <f>MONTH(Table1[[#This Row],[Date]])</f>
        <v>7</v>
      </c>
      <c r="I232">
        <f>YEAR(Table1[[#This Row],[Date]])</f>
        <v>2022</v>
      </c>
    </row>
    <row r="233" spans="1:9" x14ac:dyDescent="0.35">
      <c r="A233" s="1">
        <v>45108</v>
      </c>
      <c r="B233" t="s">
        <v>8</v>
      </c>
      <c r="C233" t="s">
        <v>12</v>
      </c>
      <c r="D233" s="9">
        <v>519.21</v>
      </c>
      <c r="E233">
        <v>8</v>
      </c>
      <c r="F233" t="s">
        <v>15</v>
      </c>
      <c r="G233" t="str">
        <f>CHOOSE(H233,"January","February","March","April","May","June","July","August","September","October","November","December")</f>
        <v>July</v>
      </c>
      <c r="H233">
        <f>MONTH(Table1[[#This Row],[Date]])</f>
        <v>7</v>
      </c>
      <c r="I233">
        <f>YEAR(Table1[[#This Row],[Date]])</f>
        <v>2023</v>
      </c>
    </row>
    <row r="234" spans="1:9" hidden="1" x14ac:dyDescent="0.35">
      <c r="A234" s="1">
        <v>44704</v>
      </c>
      <c r="B234" t="s">
        <v>8</v>
      </c>
      <c r="C234" t="s">
        <v>12</v>
      </c>
      <c r="D234">
        <v>441.63</v>
      </c>
      <c r="E234">
        <v>5</v>
      </c>
      <c r="F234" t="s">
        <v>18</v>
      </c>
      <c r="G234" t="str">
        <f>CHOOSE(H234,"January","February","March","April","May","June","July","August","September","October","November","December")</f>
        <v>May</v>
      </c>
      <c r="H234">
        <f>MONTH(Table1[[#This Row],[Date]])</f>
        <v>5</v>
      </c>
      <c r="I234">
        <f>YEAR(Table1[[#This Row],[Date]])</f>
        <v>2022</v>
      </c>
    </row>
    <row r="235" spans="1:9" hidden="1" x14ac:dyDescent="0.35">
      <c r="A235" s="1">
        <v>44828</v>
      </c>
      <c r="B235" t="s">
        <v>6</v>
      </c>
      <c r="C235" t="s">
        <v>13</v>
      </c>
      <c r="D235">
        <v>226.15</v>
      </c>
      <c r="E235">
        <v>5</v>
      </c>
      <c r="F235" t="s">
        <v>18</v>
      </c>
      <c r="G235" t="str">
        <f>CHOOSE(H235,"January","February","March","April","May","June","July","August","September","October","November","December")</f>
        <v>September</v>
      </c>
      <c r="H235">
        <f>MONTH(Table1[[#This Row],[Date]])</f>
        <v>9</v>
      </c>
      <c r="I235">
        <f>YEAR(Table1[[#This Row],[Date]])</f>
        <v>2022</v>
      </c>
    </row>
    <row r="236" spans="1:9" hidden="1" x14ac:dyDescent="0.35">
      <c r="A236" s="1">
        <v>44703</v>
      </c>
      <c r="B236" t="s">
        <v>10</v>
      </c>
      <c r="C236" t="s">
        <v>12</v>
      </c>
      <c r="D236">
        <v>193.12</v>
      </c>
      <c r="E236">
        <v>5</v>
      </c>
      <c r="F236" t="s">
        <v>16</v>
      </c>
      <c r="G236" t="str">
        <f>CHOOSE(H236,"January","February","March","April","May","June","July","August","September","October","November","December")</f>
        <v>May</v>
      </c>
      <c r="H236">
        <f>MONTH(Table1[[#This Row],[Date]])</f>
        <v>5</v>
      </c>
      <c r="I236">
        <f>YEAR(Table1[[#This Row],[Date]])</f>
        <v>2022</v>
      </c>
    </row>
    <row r="237" spans="1:9" hidden="1" x14ac:dyDescent="0.35">
      <c r="A237" s="1">
        <v>44575</v>
      </c>
      <c r="B237" t="s">
        <v>10</v>
      </c>
      <c r="C237" t="s">
        <v>13</v>
      </c>
      <c r="D237">
        <v>303.95</v>
      </c>
      <c r="E237">
        <v>5</v>
      </c>
      <c r="F237" t="s">
        <v>16</v>
      </c>
      <c r="G237" t="str">
        <f>CHOOSE(H237,"January","February","March","April","May","June","July","August","September","October","November","December")</f>
        <v>January</v>
      </c>
      <c r="H237">
        <f>MONTH(Table1[[#This Row],[Date]])</f>
        <v>1</v>
      </c>
      <c r="I237">
        <f>YEAR(Table1[[#This Row],[Date]])</f>
        <v>2022</v>
      </c>
    </row>
    <row r="238" spans="1:9" x14ac:dyDescent="0.35">
      <c r="A238" s="1">
        <v>45109</v>
      </c>
      <c r="B238" t="s">
        <v>10</v>
      </c>
      <c r="C238" t="s">
        <v>14</v>
      </c>
      <c r="D238" s="9">
        <v>291.88</v>
      </c>
      <c r="E238">
        <v>8</v>
      </c>
      <c r="F238" t="s">
        <v>19</v>
      </c>
      <c r="G238" t="str">
        <f>CHOOSE(H238,"January","February","March","April","May","June","July","August","September","October","November","December")</f>
        <v>July</v>
      </c>
      <c r="H238">
        <f>MONTH(Table1[[#This Row],[Date]])</f>
        <v>7</v>
      </c>
      <c r="I238">
        <f>YEAR(Table1[[#This Row],[Date]])</f>
        <v>2023</v>
      </c>
    </row>
    <row r="239" spans="1:9" hidden="1" x14ac:dyDescent="0.35">
      <c r="A239" s="1">
        <v>44725</v>
      </c>
      <c r="B239" t="s">
        <v>9</v>
      </c>
      <c r="C239" t="s">
        <v>11</v>
      </c>
      <c r="D239">
        <v>1540.87</v>
      </c>
      <c r="E239">
        <v>5</v>
      </c>
      <c r="F239" t="s">
        <v>18</v>
      </c>
      <c r="G239" t="str">
        <f>CHOOSE(H239,"January","February","March","April","May","June","July","August","September","October","November","December")</f>
        <v>June</v>
      </c>
      <c r="H239">
        <f>MONTH(Table1[[#This Row],[Date]])</f>
        <v>6</v>
      </c>
      <c r="I239">
        <f>YEAR(Table1[[#This Row],[Date]])</f>
        <v>2022</v>
      </c>
    </row>
    <row r="240" spans="1:9" x14ac:dyDescent="0.35">
      <c r="A240" s="1">
        <v>45110</v>
      </c>
      <c r="B240" t="s">
        <v>7</v>
      </c>
      <c r="C240" t="s">
        <v>14</v>
      </c>
      <c r="D240" s="9">
        <v>720.71</v>
      </c>
      <c r="E240">
        <v>3</v>
      </c>
      <c r="F240" t="s">
        <v>16</v>
      </c>
      <c r="G240" t="str">
        <f>CHOOSE(H240,"January","February","March","April","May","June","July","August","September","October","November","December")</f>
        <v>July</v>
      </c>
      <c r="H240">
        <f>MONTH(Table1[[#This Row],[Date]])</f>
        <v>7</v>
      </c>
      <c r="I240">
        <f>YEAR(Table1[[#This Row],[Date]])</f>
        <v>2023</v>
      </c>
    </row>
    <row r="241" spans="1:9" x14ac:dyDescent="0.35">
      <c r="A241" s="1">
        <v>45113</v>
      </c>
      <c r="B241" t="s">
        <v>10</v>
      </c>
      <c r="C241" t="s">
        <v>14</v>
      </c>
      <c r="D241" s="9">
        <v>1290.19</v>
      </c>
      <c r="E241">
        <v>10</v>
      </c>
      <c r="F241" t="s">
        <v>18</v>
      </c>
      <c r="G241" t="str">
        <f>CHOOSE(H241,"January","February","March","April","May","June","July","August","September","October","November","December")</f>
        <v>July</v>
      </c>
      <c r="H241">
        <f>MONTH(Table1[[#This Row],[Date]])</f>
        <v>7</v>
      </c>
      <c r="I241">
        <f>YEAR(Table1[[#This Row],[Date]])</f>
        <v>2023</v>
      </c>
    </row>
    <row r="242" spans="1:9" hidden="1" x14ac:dyDescent="0.35">
      <c r="A242" s="1">
        <v>44629</v>
      </c>
      <c r="B242" t="s">
        <v>6</v>
      </c>
      <c r="C242" t="s">
        <v>14</v>
      </c>
      <c r="D242">
        <v>646.58000000000004</v>
      </c>
      <c r="E242">
        <v>5</v>
      </c>
      <c r="F242" t="s">
        <v>18</v>
      </c>
      <c r="G242" t="str">
        <f>CHOOSE(H242,"January","February","March","April","May","June","July","August","September","October","November","December")</f>
        <v>March</v>
      </c>
      <c r="H242">
        <f>MONTH(Table1[[#This Row],[Date]])</f>
        <v>3</v>
      </c>
      <c r="I242">
        <f>YEAR(Table1[[#This Row],[Date]])</f>
        <v>2022</v>
      </c>
    </row>
    <row r="243" spans="1:9" x14ac:dyDescent="0.35">
      <c r="A243" s="1">
        <v>45117</v>
      </c>
      <c r="B243" t="s">
        <v>8</v>
      </c>
      <c r="C243" t="s">
        <v>14</v>
      </c>
      <c r="D243" s="9">
        <v>1315.33</v>
      </c>
      <c r="E243">
        <v>9</v>
      </c>
      <c r="F243" t="s">
        <v>16</v>
      </c>
      <c r="G243" t="str">
        <f>CHOOSE(H243,"January","February","March","April","May","June","July","August","September","October","November","December")</f>
        <v>July</v>
      </c>
      <c r="H243">
        <f>MONTH(Table1[[#This Row],[Date]])</f>
        <v>7</v>
      </c>
      <c r="I243">
        <f>YEAR(Table1[[#This Row],[Date]])</f>
        <v>2023</v>
      </c>
    </row>
    <row r="244" spans="1:9" x14ac:dyDescent="0.35">
      <c r="A244" s="1">
        <v>45117</v>
      </c>
      <c r="B244" t="s">
        <v>10</v>
      </c>
      <c r="C244" t="s">
        <v>14</v>
      </c>
      <c r="D244" s="9">
        <v>695.91</v>
      </c>
      <c r="E244">
        <v>7</v>
      </c>
      <c r="F244" t="s">
        <v>19</v>
      </c>
      <c r="G244" t="str">
        <f>CHOOSE(H244,"January","February","March","April","May","June","July","August","September","October","November","December")</f>
        <v>July</v>
      </c>
      <c r="H244">
        <f>MONTH(Table1[[#This Row],[Date]])</f>
        <v>7</v>
      </c>
      <c r="I244">
        <f>YEAR(Table1[[#This Row],[Date]])</f>
        <v>2023</v>
      </c>
    </row>
    <row r="245" spans="1:9" x14ac:dyDescent="0.35">
      <c r="A245" s="1">
        <v>45118</v>
      </c>
      <c r="B245" t="s">
        <v>7</v>
      </c>
      <c r="C245" t="s">
        <v>11</v>
      </c>
      <c r="D245" s="9">
        <v>1421.46</v>
      </c>
      <c r="E245">
        <v>1</v>
      </c>
      <c r="F245" t="s">
        <v>15</v>
      </c>
      <c r="G245" t="str">
        <f>CHOOSE(H245,"January","February","March","April","May","June","July","August","September","October","November","December")</f>
        <v>July</v>
      </c>
      <c r="H245">
        <f>MONTH(Table1[[#This Row],[Date]])</f>
        <v>7</v>
      </c>
      <c r="I245">
        <f>YEAR(Table1[[#This Row],[Date]])</f>
        <v>2023</v>
      </c>
    </row>
    <row r="246" spans="1:9" x14ac:dyDescent="0.35">
      <c r="A246" s="1">
        <v>45118</v>
      </c>
      <c r="B246" t="s">
        <v>9</v>
      </c>
      <c r="C246" t="s">
        <v>13</v>
      </c>
      <c r="D246" s="9">
        <v>345.87</v>
      </c>
      <c r="E246">
        <v>8</v>
      </c>
      <c r="F246" t="s">
        <v>15</v>
      </c>
      <c r="G246" t="str">
        <f>CHOOSE(H246,"January","February","March","April","May","June","July","August","September","October","November","December")</f>
        <v>July</v>
      </c>
      <c r="H246">
        <f>MONTH(Table1[[#This Row],[Date]])</f>
        <v>7</v>
      </c>
      <c r="I246">
        <f>YEAR(Table1[[#This Row],[Date]])</f>
        <v>2023</v>
      </c>
    </row>
    <row r="247" spans="1:9" hidden="1" x14ac:dyDescent="0.35">
      <c r="A247" s="1">
        <v>44655</v>
      </c>
      <c r="B247" t="s">
        <v>8</v>
      </c>
      <c r="C247" t="s">
        <v>12</v>
      </c>
      <c r="D247">
        <v>1851.36</v>
      </c>
      <c r="E247">
        <v>6</v>
      </c>
      <c r="F247" t="s">
        <v>15</v>
      </c>
      <c r="G247" t="str">
        <f>CHOOSE(H247,"January","February","March","April","May","June","July","August","September","October","November","December")</f>
        <v>April</v>
      </c>
      <c r="H247">
        <f>MONTH(Table1[[#This Row],[Date]])</f>
        <v>4</v>
      </c>
      <c r="I247">
        <f>YEAR(Table1[[#This Row],[Date]])</f>
        <v>2022</v>
      </c>
    </row>
    <row r="248" spans="1:9" hidden="1" x14ac:dyDescent="0.35">
      <c r="A248" s="1">
        <v>44794</v>
      </c>
      <c r="B248" t="s">
        <v>6</v>
      </c>
      <c r="C248" t="s">
        <v>12</v>
      </c>
      <c r="D248">
        <v>301.39</v>
      </c>
      <c r="E248">
        <v>6</v>
      </c>
      <c r="F248" t="s">
        <v>18</v>
      </c>
      <c r="G248" t="str">
        <f>CHOOSE(H248,"January","February","March","April","May","June","July","August","September","October","November","December")</f>
        <v>August</v>
      </c>
      <c r="H248">
        <f>MONTH(Table1[[#This Row],[Date]])</f>
        <v>8</v>
      </c>
      <c r="I248">
        <f>YEAR(Table1[[#This Row],[Date]])</f>
        <v>2022</v>
      </c>
    </row>
    <row r="249" spans="1:9" x14ac:dyDescent="0.35">
      <c r="A249" s="1">
        <v>45119</v>
      </c>
      <c r="B249" t="s">
        <v>9</v>
      </c>
      <c r="C249" t="s">
        <v>11</v>
      </c>
      <c r="D249" s="9">
        <v>1653.87</v>
      </c>
      <c r="E249">
        <v>8</v>
      </c>
      <c r="F249" t="s">
        <v>19</v>
      </c>
      <c r="G249" t="str">
        <f>CHOOSE(H249,"January","February","March","April","May","June","July","August","September","October","November","December")</f>
        <v>July</v>
      </c>
      <c r="H249">
        <f>MONTH(Table1[[#This Row],[Date]])</f>
        <v>7</v>
      </c>
      <c r="I249">
        <f>YEAR(Table1[[#This Row],[Date]])</f>
        <v>2023</v>
      </c>
    </row>
    <row r="250" spans="1:9" x14ac:dyDescent="0.35">
      <c r="A250" s="1">
        <v>45119</v>
      </c>
      <c r="B250" t="s">
        <v>7</v>
      </c>
      <c r="C250" t="s">
        <v>13</v>
      </c>
      <c r="D250" s="9">
        <v>906.27</v>
      </c>
      <c r="E250">
        <v>5</v>
      </c>
      <c r="F250" t="s">
        <v>19</v>
      </c>
      <c r="G250" t="str">
        <f>CHOOSE(H250,"January","February","March","April","May","June","July","August","September","October","November","December")</f>
        <v>July</v>
      </c>
      <c r="H250">
        <f>MONTH(Table1[[#This Row],[Date]])</f>
        <v>7</v>
      </c>
      <c r="I250">
        <f>YEAR(Table1[[#This Row],[Date]])</f>
        <v>2023</v>
      </c>
    </row>
    <row r="251" spans="1:9" hidden="1" x14ac:dyDescent="0.35">
      <c r="A251" s="1">
        <v>44666</v>
      </c>
      <c r="B251" t="s">
        <v>7</v>
      </c>
      <c r="C251" t="s">
        <v>14</v>
      </c>
      <c r="D251">
        <v>1617.01</v>
      </c>
      <c r="E251">
        <v>6</v>
      </c>
      <c r="F251" t="s">
        <v>16</v>
      </c>
      <c r="G251" t="str">
        <f>CHOOSE(H251,"January","February","March","April","May","June","July","August","September","October","November","December")</f>
        <v>April</v>
      </c>
      <c r="H251">
        <f>MONTH(Table1[[#This Row],[Date]])</f>
        <v>4</v>
      </c>
      <c r="I251">
        <f>YEAR(Table1[[#This Row],[Date]])</f>
        <v>2022</v>
      </c>
    </row>
    <row r="252" spans="1:9" x14ac:dyDescent="0.35">
      <c r="A252" s="1">
        <v>45123</v>
      </c>
      <c r="B252" t="s">
        <v>7</v>
      </c>
      <c r="C252" t="s">
        <v>14</v>
      </c>
      <c r="D252" s="9">
        <v>1498.59</v>
      </c>
      <c r="E252">
        <v>1</v>
      </c>
      <c r="F252" t="s">
        <v>17</v>
      </c>
      <c r="G252" t="str">
        <f>CHOOSE(H252,"January","February","March","April","May","June","July","August","September","October","November","December")</f>
        <v>July</v>
      </c>
      <c r="H252">
        <f>MONTH(Table1[[#This Row],[Date]])</f>
        <v>7</v>
      </c>
      <c r="I252">
        <f>YEAR(Table1[[#This Row],[Date]])</f>
        <v>2023</v>
      </c>
    </row>
    <row r="253" spans="1:9" hidden="1" x14ac:dyDescent="0.35">
      <c r="A253" s="1">
        <v>44735</v>
      </c>
      <c r="B253" t="s">
        <v>6</v>
      </c>
      <c r="C253" t="s">
        <v>13</v>
      </c>
      <c r="D253">
        <v>495.05</v>
      </c>
      <c r="E253">
        <v>6</v>
      </c>
      <c r="F253" t="s">
        <v>18</v>
      </c>
      <c r="G253" t="str">
        <f>CHOOSE(H253,"January","February","March","April","May","June","July","August","September","October","November","December")</f>
        <v>June</v>
      </c>
      <c r="H253">
        <f>MONTH(Table1[[#This Row],[Date]])</f>
        <v>6</v>
      </c>
      <c r="I253">
        <f>YEAR(Table1[[#This Row],[Date]])</f>
        <v>2022</v>
      </c>
    </row>
    <row r="254" spans="1:9" x14ac:dyDescent="0.35">
      <c r="A254" s="1">
        <v>45126</v>
      </c>
      <c r="B254" t="s">
        <v>8</v>
      </c>
      <c r="C254" t="s">
        <v>14</v>
      </c>
      <c r="D254" s="9">
        <v>277.72000000000003</v>
      </c>
      <c r="E254">
        <v>6</v>
      </c>
      <c r="F254" t="s">
        <v>16</v>
      </c>
      <c r="G254" t="str">
        <f>CHOOSE(H254,"January","February","March","April","May","June","July","August","September","October","November","December")</f>
        <v>July</v>
      </c>
      <c r="H254">
        <f>MONTH(Table1[[#This Row],[Date]])</f>
        <v>7</v>
      </c>
      <c r="I254">
        <f>YEAR(Table1[[#This Row],[Date]])</f>
        <v>2023</v>
      </c>
    </row>
    <row r="255" spans="1:9" x14ac:dyDescent="0.35">
      <c r="A255" s="1">
        <v>45129</v>
      </c>
      <c r="B255" t="s">
        <v>8</v>
      </c>
      <c r="C255" t="s">
        <v>13</v>
      </c>
      <c r="D255" s="9">
        <v>1418.94</v>
      </c>
      <c r="E255">
        <v>5</v>
      </c>
      <c r="F255" t="s">
        <v>16</v>
      </c>
      <c r="G255" t="str">
        <f>CHOOSE(H255,"January","February","March","April","May","June","July","August","September","October","November","December")</f>
        <v>July</v>
      </c>
      <c r="H255">
        <f>MONTH(Table1[[#This Row],[Date]])</f>
        <v>7</v>
      </c>
      <c r="I255">
        <f>YEAR(Table1[[#This Row],[Date]])</f>
        <v>2023</v>
      </c>
    </row>
    <row r="256" spans="1:9" x14ac:dyDescent="0.35">
      <c r="A256" s="1">
        <v>45130</v>
      </c>
      <c r="B256" t="s">
        <v>7</v>
      </c>
      <c r="C256" t="s">
        <v>14</v>
      </c>
      <c r="D256" s="9">
        <v>1756.39</v>
      </c>
      <c r="E256">
        <v>10</v>
      </c>
      <c r="F256" t="s">
        <v>15</v>
      </c>
      <c r="G256" t="str">
        <f>CHOOSE(H256,"January","February","March","April","May","June","July","August","September","October","November","December")</f>
        <v>July</v>
      </c>
      <c r="H256">
        <f>MONTH(Table1[[#This Row],[Date]])</f>
        <v>7</v>
      </c>
      <c r="I256">
        <f>YEAR(Table1[[#This Row],[Date]])</f>
        <v>2023</v>
      </c>
    </row>
    <row r="257" spans="1:9" hidden="1" x14ac:dyDescent="0.35">
      <c r="A257" s="1">
        <v>44795</v>
      </c>
      <c r="B257" t="s">
        <v>7</v>
      </c>
      <c r="C257" t="s">
        <v>11</v>
      </c>
      <c r="D257">
        <v>214.05</v>
      </c>
      <c r="E257">
        <v>6</v>
      </c>
      <c r="F257" t="s">
        <v>18</v>
      </c>
      <c r="G257" t="str">
        <f>CHOOSE(H257,"January","February","March","April","May","June","July","August","September","October","November","December")</f>
        <v>August</v>
      </c>
      <c r="H257">
        <f>MONTH(Table1[[#This Row],[Date]])</f>
        <v>8</v>
      </c>
      <c r="I257">
        <f>YEAR(Table1[[#This Row],[Date]])</f>
        <v>2022</v>
      </c>
    </row>
    <row r="258" spans="1:9" x14ac:dyDescent="0.35">
      <c r="A258" s="1">
        <v>45132</v>
      </c>
      <c r="B258" t="s">
        <v>8</v>
      </c>
      <c r="C258" t="s">
        <v>12</v>
      </c>
      <c r="D258" s="9">
        <v>831.3</v>
      </c>
      <c r="E258">
        <v>8</v>
      </c>
      <c r="F258" t="s">
        <v>17</v>
      </c>
      <c r="G258" t="str">
        <f>CHOOSE(H258,"January","February","March","April","May","June","July","August","September","October","November","December")</f>
        <v>July</v>
      </c>
      <c r="H258">
        <f>MONTH(Table1[[#This Row],[Date]])</f>
        <v>7</v>
      </c>
      <c r="I258">
        <f>YEAR(Table1[[#This Row],[Date]])</f>
        <v>2023</v>
      </c>
    </row>
    <row r="259" spans="1:9" x14ac:dyDescent="0.35">
      <c r="A259" s="1">
        <v>45133</v>
      </c>
      <c r="B259" t="s">
        <v>8</v>
      </c>
      <c r="C259" t="s">
        <v>14</v>
      </c>
      <c r="D259" s="9">
        <v>1573.89</v>
      </c>
      <c r="E259">
        <v>6</v>
      </c>
      <c r="F259" t="s">
        <v>18</v>
      </c>
      <c r="G259" t="str">
        <f>CHOOSE(H259,"January","February","March","April","May","June","July","August","September","October","November","December")</f>
        <v>July</v>
      </c>
      <c r="H259">
        <f>MONTH(Table1[[#This Row],[Date]])</f>
        <v>7</v>
      </c>
      <c r="I259">
        <f>YEAR(Table1[[#This Row],[Date]])</f>
        <v>2023</v>
      </c>
    </row>
    <row r="260" spans="1:9" hidden="1" x14ac:dyDescent="0.35">
      <c r="A260" s="1">
        <v>44731</v>
      </c>
      <c r="B260" t="s">
        <v>9</v>
      </c>
      <c r="C260" t="s">
        <v>11</v>
      </c>
      <c r="D260">
        <v>138.24</v>
      </c>
      <c r="E260">
        <v>6</v>
      </c>
      <c r="F260" t="s">
        <v>15</v>
      </c>
      <c r="G260" t="str">
        <f>CHOOSE(H260,"January","February","March","April","May","June","July","August","September","October","November","December")</f>
        <v>June</v>
      </c>
      <c r="H260">
        <f>MONTH(Table1[[#This Row],[Date]])</f>
        <v>6</v>
      </c>
      <c r="I260">
        <f>YEAR(Table1[[#This Row],[Date]])</f>
        <v>2022</v>
      </c>
    </row>
    <row r="261" spans="1:9" x14ac:dyDescent="0.35">
      <c r="A261" s="1">
        <v>45138</v>
      </c>
      <c r="B261" t="s">
        <v>8</v>
      </c>
      <c r="C261" t="s">
        <v>14</v>
      </c>
      <c r="D261" s="9">
        <v>1212.3900000000001</v>
      </c>
      <c r="E261">
        <v>1</v>
      </c>
      <c r="F261" t="s">
        <v>19</v>
      </c>
      <c r="G261" t="str">
        <f>CHOOSE(H261,"January","February","March","April","May","June","July","August","September","October","November","December")</f>
        <v>July</v>
      </c>
      <c r="H261">
        <f>MONTH(Table1[[#This Row],[Date]])</f>
        <v>7</v>
      </c>
      <c r="I261">
        <f>YEAR(Table1[[#This Row],[Date]])</f>
        <v>2023</v>
      </c>
    </row>
    <row r="262" spans="1:9" x14ac:dyDescent="0.35">
      <c r="A262" s="1">
        <v>45139</v>
      </c>
      <c r="B262" t="s">
        <v>7</v>
      </c>
      <c r="C262" t="s">
        <v>13</v>
      </c>
      <c r="D262" s="9">
        <v>1760.5</v>
      </c>
      <c r="E262">
        <v>9</v>
      </c>
      <c r="F262" t="s">
        <v>18</v>
      </c>
      <c r="G262" t="str">
        <f>CHOOSE(H262,"January","February","March","April","May","June","July","August","September","October","November","December")</f>
        <v>August</v>
      </c>
      <c r="H262">
        <f>MONTH(Table1[[#This Row],[Date]])</f>
        <v>8</v>
      </c>
      <c r="I262">
        <f>YEAR(Table1[[#This Row],[Date]])</f>
        <v>2023</v>
      </c>
    </row>
    <row r="263" spans="1:9" hidden="1" x14ac:dyDescent="0.35">
      <c r="A263" s="1">
        <v>44850</v>
      </c>
      <c r="B263" t="s">
        <v>10</v>
      </c>
      <c r="C263" t="s">
        <v>13</v>
      </c>
      <c r="D263">
        <v>1954.83</v>
      </c>
      <c r="E263">
        <v>6</v>
      </c>
      <c r="F263" t="s">
        <v>18</v>
      </c>
      <c r="G263" t="str">
        <f>CHOOSE(H263,"January","February","March","April","May","June","July","August","September","October","November","December")</f>
        <v>October</v>
      </c>
      <c r="H263">
        <f>MONTH(Table1[[#This Row],[Date]])</f>
        <v>10</v>
      </c>
      <c r="I263">
        <f>YEAR(Table1[[#This Row],[Date]])</f>
        <v>2022</v>
      </c>
    </row>
    <row r="264" spans="1:9" x14ac:dyDescent="0.35">
      <c r="A264" s="1">
        <v>45139</v>
      </c>
      <c r="B264" t="s">
        <v>8</v>
      </c>
      <c r="C264" t="s">
        <v>14</v>
      </c>
      <c r="D264" s="9">
        <v>1705.06</v>
      </c>
      <c r="E264">
        <v>3</v>
      </c>
      <c r="F264" t="s">
        <v>16</v>
      </c>
      <c r="G264" t="str">
        <f>CHOOSE(H264,"January","February","March","April","May","June","July","August","September","October","November","December")</f>
        <v>August</v>
      </c>
      <c r="H264">
        <f>MONTH(Table1[[#This Row],[Date]])</f>
        <v>8</v>
      </c>
      <c r="I264">
        <f>YEAR(Table1[[#This Row],[Date]])</f>
        <v>2023</v>
      </c>
    </row>
    <row r="265" spans="1:9" x14ac:dyDescent="0.35">
      <c r="A265" s="1">
        <v>45139</v>
      </c>
      <c r="B265" t="s">
        <v>7</v>
      </c>
      <c r="C265" t="s">
        <v>14</v>
      </c>
      <c r="D265" s="9">
        <v>913.12</v>
      </c>
      <c r="E265">
        <v>5</v>
      </c>
      <c r="F265" t="s">
        <v>15</v>
      </c>
      <c r="G265" t="str">
        <f>CHOOSE(H265,"January","February","March","April","May","June","July","August","September","October","November","December")</f>
        <v>August</v>
      </c>
      <c r="H265">
        <f>MONTH(Table1[[#This Row],[Date]])</f>
        <v>8</v>
      </c>
      <c r="I265">
        <f>YEAR(Table1[[#This Row],[Date]])</f>
        <v>2023</v>
      </c>
    </row>
    <row r="266" spans="1:9" hidden="1" x14ac:dyDescent="0.35">
      <c r="A266" s="1">
        <v>44687</v>
      </c>
      <c r="B266" t="s">
        <v>9</v>
      </c>
      <c r="C266" t="s">
        <v>12</v>
      </c>
      <c r="D266">
        <v>1813.84</v>
      </c>
      <c r="E266">
        <v>6</v>
      </c>
      <c r="F266" t="s">
        <v>15</v>
      </c>
      <c r="G266" t="str">
        <f>CHOOSE(H266,"January","February","March","April","May","June","July","August","September","October","November","December")</f>
        <v>May</v>
      </c>
      <c r="H266">
        <f>MONTH(Table1[[#This Row],[Date]])</f>
        <v>5</v>
      </c>
      <c r="I266">
        <f>YEAR(Table1[[#This Row],[Date]])</f>
        <v>2022</v>
      </c>
    </row>
    <row r="267" spans="1:9" x14ac:dyDescent="0.35">
      <c r="A267" s="1">
        <v>45139</v>
      </c>
      <c r="B267" t="s">
        <v>8</v>
      </c>
      <c r="C267" t="s">
        <v>11</v>
      </c>
      <c r="D267" s="9">
        <v>675.55</v>
      </c>
      <c r="E267">
        <v>8</v>
      </c>
      <c r="F267" t="s">
        <v>19</v>
      </c>
      <c r="G267" t="str">
        <f>CHOOSE(H267,"January","February","March","April","May","June","July","August","September","October","November","December")</f>
        <v>August</v>
      </c>
      <c r="H267">
        <f>MONTH(Table1[[#This Row],[Date]])</f>
        <v>8</v>
      </c>
      <c r="I267">
        <f>YEAR(Table1[[#This Row],[Date]])</f>
        <v>2023</v>
      </c>
    </row>
    <row r="268" spans="1:9" x14ac:dyDescent="0.35">
      <c r="A268" s="1">
        <v>45140</v>
      </c>
      <c r="B268" t="s">
        <v>10</v>
      </c>
      <c r="C268" t="s">
        <v>11</v>
      </c>
      <c r="D268" s="9">
        <v>320.99</v>
      </c>
      <c r="E268">
        <v>8</v>
      </c>
      <c r="F268" t="s">
        <v>19</v>
      </c>
      <c r="G268" t="str">
        <f>CHOOSE(H268,"January","February","March","April","May","June","July","August","September","October","November","December")</f>
        <v>August</v>
      </c>
      <c r="H268">
        <f>MONTH(Table1[[#This Row],[Date]])</f>
        <v>8</v>
      </c>
      <c r="I268">
        <f>YEAR(Table1[[#This Row],[Date]])</f>
        <v>2023</v>
      </c>
    </row>
    <row r="269" spans="1:9" x14ac:dyDescent="0.35">
      <c r="A269" s="1">
        <v>45142</v>
      </c>
      <c r="B269" t="s">
        <v>9</v>
      </c>
      <c r="C269" t="s">
        <v>12</v>
      </c>
      <c r="D269" s="9">
        <v>1601.09</v>
      </c>
      <c r="E269">
        <v>2</v>
      </c>
      <c r="F269" t="s">
        <v>16</v>
      </c>
      <c r="G269" t="str">
        <f>CHOOSE(H269,"January","February","March","April","May","June","July","August","September","October","November","December")</f>
        <v>August</v>
      </c>
      <c r="H269">
        <f>MONTH(Table1[[#This Row],[Date]])</f>
        <v>8</v>
      </c>
      <c r="I269">
        <f>YEAR(Table1[[#This Row],[Date]])</f>
        <v>2023</v>
      </c>
    </row>
    <row r="270" spans="1:9" x14ac:dyDescent="0.35">
      <c r="A270" s="1">
        <v>45143</v>
      </c>
      <c r="B270" t="s">
        <v>7</v>
      </c>
      <c r="C270" t="s">
        <v>13</v>
      </c>
      <c r="D270" s="9">
        <v>1437.8</v>
      </c>
      <c r="E270">
        <v>4</v>
      </c>
      <c r="F270" t="s">
        <v>18</v>
      </c>
      <c r="G270" t="str">
        <f>CHOOSE(H270,"January","February","March","April","May","June","July","August","September","October","November","December")</f>
        <v>August</v>
      </c>
      <c r="H270">
        <f>MONTH(Table1[[#This Row],[Date]])</f>
        <v>8</v>
      </c>
      <c r="I270">
        <f>YEAR(Table1[[#This Row],[Date]])</f>
        <v>2023</v>
      </c>
    </row>
    <row r="271" spans="1:9" x14ac:dyDescent="0.35">
      <c r="A271" s="1">
        <v>45144</v>
      </c>
      <c r="B271" t="s">
        <v>6</v>
      </c>
      <c r="C271" t="s">
        <v>14</v>
      </c>
      <c r="D271" s="9">
        <v>345.08</v>
      </c>
      <c r="E271">
        <v>7</v>
      </c>
      <c r="F271" t="s">
        <v>15</v>
      </c>
      <c r="G271" t="str">
        <f>CHOOSE(H271,"January","February","March","April","May","June","July","August","September","October","November","December")</f>
        <v>August</v>
      </c>
      <c r="H271">
        <f>MONTH(Table1[[#This Row],[Date]])</f>
        <v>8</v>
      </c>
      <c r="I271">
        <f>YEAR(Table1[[#This Row],[Date]])</f>
        <v>2023</v>
      </c>
    </row>
    <row r="272" spans="1:9" hidden="1" x14ac:dyDescent="0.35">
      <c r="A272" s="1">
        <v>44730</v>
      </c>
      <c r="B272" t="s">
        <v>10</v>
      </c>
      <c r="C272" t="s">
        <v>14</v>
      </c>
      <c r="D272">
        <v>421.76</v>
      </c>
      <c r="E272">
        <v>6</v>
      </c>
      <c r="F272" t="s">
        <v>17</v>
      </c>
      <c r="G272" t="str">
        <f>CHOOSE(H272,"January","February","March","April","May","June","July","August","September","October","November","December")</f>
        <v>June</v>
      </c>
      <c r="H272">
        <f>MONTH(Table1[[#This Row],[Date]])</f>
        <v>6</v>
      </c>
      <c r="I272">
        <f>YEAR(Table1[[#This Row],[Date]])</f>
        <v>2022</v>
      </c>
    </row>
    <row r="273" spans="1:9" hidden="1" x14ac:dyDescent="0.35">
      <c r="A273" s="1">
        <v>44799</v>
      </c>
      <c r="B273" t="s">
        <v>7</v>
      </c>
      <c r="C273" t="s">
        <v>12</v>
      </c>
      <c r="D273">
        <v>1829.64</v>
      </c>
      <c r="E273">
        <v>6</v>
      </c>
      <c r="F273" t="s">
        <v>17</v>
      </c>
      <c r="G273" t="str">
        <f>CHOOSE(H273,"January","February","March","April","May","June","July","August","September","October","November","December")</f>
        <v>August</v>
      </c>
      <c r="H273">
        <f>MONTH(Table1[[#This Row],[Date]])</f>
        <v>8</v>
      </c>
      <c r="I273">
        <f>YEAR(Table1[[#This Row],[Date]])</f>
        <v>2022</v>
      </c>
    </row>
    <row r="274" spans="1:9" hidden="1" x14ac:dyDescent="0.35">
      <c r="A274" s="1">
        <v>44638</v>
      </c>
      <c r="B274" t="s">
        <v>8</v>
      </c>
      <c r="C274" t="s">
        <v>12</v>
      </c>
      <c r="D274">
        <v>364.65</v>
      </c>
      <c r="E274">
        <v>6</v>
      </c>
      <c r="F274" t="s">
        <v>17</v>
      </c>
      <c r="G274" t="str">
        <f>CHOOSE(H274,"January","February","March","April","May","June","July","August","September","October","November","December")</f>
        <v>March</v>
      </c>
      <c r="H274">
        <f>MONTH(Table1[[#This Row],[Date]])</f>
        <v>3</v>
      </c>
      <c r="I274">
        <f>YEAR(Table1[[#This Row],[Date]])</f>
        <v>2022</v>
      </c>
    </row>
    <row r="275" spans="1:9" hidden="1" x14ac:dyDescent="0.35">
      <c r="A275" s="1">
        <v>44722</v>
      </c>
      <c r="B275" t="s">
        <v>10</v>
      </c>
      <c r="C275" t="s">
        <v>13</v>
      </c>
      <c r="D275">
        <v>832.71</v>
      </c>
      <c r="E275">
        <v>6</v>
      </c>
      <c r="F275" t="s">
        <v>17</v>
      </c>
      <c r="G275" t="str">
        <f>CHOOSE(H275,"January","February","March","April","May","June","July","August","September","October","November","December")</f>
        <v>June</v>
      </c>
      <c r="H275">
        <f>MONTH(Table1[[#This Row],[Date]])</f>
        <v>6</v>
      </c>
      <c r="I275">
        <f>YEAR(Table1[[#This Row],[Date]])</f>
        <v>2022</v>
      </c>
    </row>
    <row r="276" spans="1:9" x14ac:dyDescent="0.35">
      <c r="A276" s="1">
        <v>45149</v>
      </c>
      <c r="B276" t="s">
        <v>6</v>
      </c>
      <c r="C276" t="s">
        <v>11</v>
      </c>
      <c r="D276" s="9">
        <v>350.68</v>
      </c>
      <c r="E276">
        <v>7</v>
      </c>
      <c r="F276" t="s">
        <v>15</v>
      </c>
      <c r="G276" t="str">
        <f>CHOOSE(H276,"January","February","March","April","May","June","July","August","September","October","November","December")</f>
        <v>August</v>
      </c>
      <c r="H276">
        <f>MONTH(Table1[[#This Row],[Date]])</f>
        <v>8</v>
      </c>
      <c r="I276">
        <f>YEAR(Table1[[#This Row],[Date]])</f>
        <v>2023</v>
      </c>
    </row>
    <row r="277" spans="1:9" hidden="1" x14ac:dyDescent="0.35">
      <c r="A277" s="1">
        <v>44875</v>
      </c>
      <c r="B277" t="s">
        <v>6</v>
      </c>
      <c r="C277" t="s">
        <v>12</v>
      </c>
      <c r="D277">
        <v>1944.18</v>
      </c>
      <c r="E277">
        <v>6</v>
      </c>
      <c r="F277" t="s">
        <v>17</v>
      </c>
      <c r="G277" t="str">
        <f>CHOOSE(H277,"January","February","March","April","May","June","July","August","September","October","November","December")</f>
        <v>November</v>
      </c>
      <c r="H277">
        <f>MONTH(Table1[[#This Row],[Date]])</f>
        <v>11</v>
      </c>
      <c r="I277">
        <f>YEAR(Table1[[#This Row],[Date]])</f>
        <v>2022</v>
      </c>
    </row>
    <row r="278" spans="1:9" x14ac:dyDescent="0.35">
      <c r="A278" s="1">
        <v>45151</v>
      </c>
      <c r="B278" t="s">
        <v>9</v>
      </c>
      <c r="C278" t="s">
        <v>11</v>
      </c>
      <c r="D278" s="9">
        <v>645.94000000000005</v>
      </c>
      <c r="E278">
        <v>1</v>
      </c>
      <c r="F278" t="s">
        <v>15</v>
      </c>
      <c r="G278" t="str">
        <f>CHOOSE(H278,"January","February","March","April","May","June","July","August","September","October","November","December")</f>
        <v>August</v>
      </c>
      <c r="H278">
        <f>MONTH(Table1[[#This Row],[Date]])</f>
        <v>8</v>
      </c>
      <c r="I278">
        <f>YEAR(Table1[[#This Row],[Date]])</f>
        <v>2023</v>
      </c>
    </row>
    <row r="279" spans="1:9" x14ac:dyDescent="0.35">
      <c r="A279" s="1">
        <v>45153</v>
      </c>
      <c r="B279" t="s">
        <v>10</v>
      </c>
      <c r="C279" t="s">
        <v>14</v>
      </c>
      <c r="D279" s="9">
        <v>1508.31</v>
      </c>
      <c r="E279">
        <v>6</v>
      </c>
      <c r="F279" t="s">
        <v>16</v>
      </c>
      <c r="G279" t="str">
        <f>CHOOSE(H279,"January","February","March","April","May","June","July","August","September","October","November","December")</f>
        <v>August</v>
      </c>
      <c r="H279">
        <f>MONTH(Table1[[#This Row],[Date]])</f>
        <v>8</v>
      </c>
      <c r="I279">
        <f>YEAR(Table1[[#This Row],[Date]])</f>
        <v>2023</v>
      </c>
    </row>
    <row r="280" spans="1:9" hidden="1" x14ac:dyDescent="0.35">
      <c r="A280" s="1">
        <v>44751</v>
      </c>
      <c r="B280" t="s">
        <v>9</v>
      </c>
      <c r="C280" t="s">
        <v>12</v>
      </c>
      <c r="D280">
        <v>207.73</v>
      </c>
      <c r="E280">
        <v>6</v>
      </c>
      <c r="F280" t="s">
        <v>17</v>
      </c>
      <c r="G280" t="str">
        <f>CHOOSE(H280,"January","February","March","April","May","June","July","August","September","October","November","December")</f>
        <v>July</v>
      </c>
      <c r="H280">
        <f>MONTH(Table1[[#This Row],[Date]])</f>
        <v>7</v>
      </c>
      <c r="I280">
        <f>YEAR(Table1[[#This Row],[Date]])</f>
        <v>2022</v>
      </c>
    </row>
    <row r="281" spans="1:9" x14ac:dyDescent="0.35">
      <c r="A281" s="1">
        <v>45156</v>
      </c>
      <c r="B281" t="s">
        <v>7</v>
      </c>
      <c r="C281" t="s">
        <v>12</v>
      </c>
      <c r="D281" s="9">
        <v>1549.1</v>
      </c>
      <c r="E281">
        <v>8</v>
      </c>
      <c r="F281" t="s">
        <v>16</v>
      </c>
      <c r="G281" t="str">
        <f>CHOOSE(H281,"January","February","March","April","May","June","July","August","September","October","November","December")</f>
        <v>August</v>
      </c>
      <c r="H281">
        <f>MONTH(Table1[[#This Row],[Date]])</f>
        <v>8</v>
      </c>
      <c r="I281">
        <f>YEAR(Table1[[#This Row],[Date]])</f>
        <v>2023</v>
      </c>
    </row>
    <row r="282" spans="1:9" x14ac:dyDescent="0.35">
      <c r="A282" s="1">
        <v>45157</v>
      </c>
      <c r="B282" t="s">
        <v>6</v>
      </c>
      <c r="C282" t="s">
        <v>12</v>
      </c>
      <c r="D282" s="9">
        <v>1326.05</v>
      </c>
      <c r="E282">
        <v>10</v>
      </c>
      <c r="F282" t="s">
        <v>15</v>
      </c>
      <c r="G282" t="str">
        <f>CHOOSE(H282,"January","February","March","April","May","June","July","August","September","October","November","December")</f>
        <v>August</v>
      </c>
      <c r="H282">
        <f>MONTH(Table1[[#This Row],[Date]])</f>
        <v>8</v>
      </c>
      <c r="I282">
        <f>YEAR(Table1[[#This Row],[Date]])</f>
        <v>2023</v>
      </c>
    </row>
    <row r="283" spans="1:9" x14ac:dyDescent="0.35">
      <c r="A283" s="1">
        <v>45159</v>
      </c>
      <c r="B283" t="s">
        <v>9</v>
      </c>
      <c r="C283" t="s">
        <v>12</v>
      </c>
      <c r="D283" s="9">
        <v>948.78</v>
      </c>
      <c r="E283">
        <v>6</v>
      </c>
      <c r="F283" t="s">
        <v>19</v>
      </c>
      <c r="G283" t="str">
        <f>CHOOSE(H283,"January","February","March","April","May","June","July","August","September","October","November","December")</f>
        <v>August</v>
      </c>
      <c r="H283">
        <f>MONTH(Table1[[#This Row],[Date]])</f>
        <v>8</v>
      </c>
      <c r="I283">
        <f>YEAR(Table1[[#This Row],[Date]])</f>
        <v>2023</v>
      </c>
    </row>
    <row r="284" spans="1:9" hidden="1" x14ac:dyDescent="0.35">
      <c r="A284" s="1">
        <v>44787</v>
      </c>
      <c r="B284" t="s">
        <v>8</v>
      </c>
      <c r="C284" t="s">
        <v>11</v>
      </c>
      <c r="D284">
        <v>1841.22</v>
      </c>
      <c r="E284">
        <v>6</v>
      </c>
      <c r="F284" t="s">
        <v>18</v>
      </c>
      <c r="G284" t="str">
        <f>CHOOSE(H284,"January","February","March","April","May","June","July","August","September","October","November","December")</f>
        <v>August</v>
      </c>
      <c r="H284">
        <f>MONTH(Table1[[#This Row],[Date]])</f>
        <v>8</v>
      </c>
      <c r="I284">
        <f>YEAR(Table1[[#This Row],[Date]])</f>
        <v>2022</v>
      </c>
    </row>
    <row r="285" spans="1:9" hidden="1" x14ac:dyDescent="0.35">
      <c r="A285" s="1">
        <v>44669</v>
      </c>
      <c r="B285" t="s">
        <v>6</v>
      </c>
      <c r="C285" t="s">
        <v>11</v>
      </c>
      <c r="D285">
        <v>189.39</v>
      </c>
      <c r="E285">
        <v>6</v>
      </c>
      <c r="F285" t="s">
        <v>19</v>
      </c>
      <c r="G285" t="str">
        <f>CHOOSE(H285,"January","February","March","April","May","June","July","August","September","October","November","December")</f>
        <v>April</v>
      </c>
      <c r="H285">
        <f>MONTH(Table1[[#This Row],[Date]])</f>
        <v>4</v>
      </c>
      <c r="I285">
        <f>YEAR(Table1[[#This Row],[Date]])</f>
        <v>2022</v>
      </c>
    </row>
    <row r="286" spans="1:9" x14ac:dyDescent="0.35">
      <c r="A286" s="1">
        <v>45159</v>
      </c>
      <c r="B286" t="s">
        <v>6</v>
      </c>
      <c r="C286" t="s">
        <v>14</v>
      </c>
      <c r="D286" s="9">
        <v>482.1</v>
      </c>
      <c r="E286">
        <v>1</v>
      </c>
      <c r="F286" t="s">
        <v>15</v>
      </c>
      <c r="G286" t="str">
        <f>CHOOSE(H286,"January","February","March","April","May","June","July","August","September","October","November","December")</f>
        <v>August</v>
      </c>
      <c r="H286">
        <f>MONTH(Table1[[#This Row],[Date]])</f>
        <v>8</v>
      </c>
      <c r="I286">
        <f>YEAR(Table1[[#This Row],[Date]])</f>
        <v>2023</v>
      </c>
    </row>
    <row r="287" spans="1:9" x14ac:dyDescent="0.35">
      <c r="A287" s="1">
        <v>45160</v>
      </c>
      <c r="B287" t="s">
        <v>7</v>
      </c>
      <c r="C287" t="s">
        <v>13</v>
      </c>
      <c r="D287" s="9">
        <v>1549.69</v>
      </c>
      <c r="E287">
        <v>5</v>
      </c>
      <c r="F287" t="s">
        <v>16</v>
      </c>
      <c r="G287" t="str">
        <f>CHOOSE(H287,"January","February","March","April","May","June","July","August","September","October","November","December")</f>
        <v>August</v>
      </c>
      <c r="H287">
        <f>MONTH(Table1[[#This Row],[Date]])</f>
        <v>8</v>
      </c>
      <c r="I287">
        <f>YEAR(Table1[[#This Row],[Date]])</f>
        <v>2023</v>
      </c>
    </row>
    <row r="288" spans="1:9" hidden="1" x14ac:dyDescent="0.35">
      <c r="A288" s="1">
        <v>44612</v>
      </c>
      <c r="B288" t="s">
        <v>6</v>
      </c>
      <c r="C288" t="s">
        <v>11</v>
      </c>
      <c r="D288">
        <v>1532.74</v>
      </c>
      <c r="E288">
        <v>6</v>
      </c>
      <c r="F288" t="s">
        <v>19</v>
      </c>
      <c r="G288" t="str">
        <f>CHOOSE(H288,"January","February","March","April","May","June","July","August","September","October","November","December")</f>
        <v>February</v>
      </c>
      <c r="H288">
        <f>MONTH(Table1[[#This Row],[Date]])</f>
        <v>2</v>
      </c>
      <c r="I288">
        <f>YEAR(Table1[[#This Row],[Date]])</f>
        <v>2022</v>
      </c>
    </row>
    <row r="289" spans="1:9" x14ac:dyDescent="0.35">
      <c r="A289" s="1">
        <v>45161</v>
      </c>
      <c r="B289" t="s">
        <v>6</v>
      </c>
      <c r="C289" t="s">
        <v>12</v>
      </c>
      <c r="D289" s="9">
        <v>1166.6500000000001</v>
      </c>
      <c r="E289">
        <v>6</v>
      </c>
      <c r="F289" t="s">
        <v>19</v>
      </c>
      <c r="G289" t="str">
        <f>CHOOSE(H289,"January","February","March","April","May","June","July","August","September","October","November","December")</f>
        <v>August</v>
      </c>
      <c r="H289">
        <f>MONTH(Table1[[#This Row],[Date]])</f>
        <v>8</v>
      </c>
      <c r="I289">
        <f>YEAR(Table1[[#This Row],[Date]])</f>
        <v>2023</v>
      </c>
    </row>
    <row r="290" spans="1:9" hidden="1" x14ac:dyDescent="0.35">
      <c r="A290" s="1">
        <v>44684</v>
      </c>
      <c r="B290" t="s">
        <v>7</v>
      </c>
      <c r="C290" t="s">
        <v>12</v>
      </c>
      <c r="D290">
        <v>1109.45</v>
      </c>
      <c r="E290">
        <v>6</v>
      </c>
      <c r="F290" t="s">
        <v>19</v>
      </c>
      <c r="G290" t="str">
        <f>CHOOSE(H290,"January","February","March","April","May","June","July","August","September","October","November","December")</f>
        <v>May</v>
      </c>
      <c r="H290">
        <f>MONTH(Table1[[#This Row],[Date]])</f>
        <v>5</v>
      </c>
      <c r="I290">
        <f>YEAR(Table1[[#This Row],[Date]])</f>
        <v>2022</v>
      </c>
    </row>
    <row r="291" spans="1:9" x14ac:dyDescent="0.35">
      <c r="A291" s="1">
        <v>45162</v>
      </c>
      <c r="B291" t="s">
        <v>7</v>
      </c>
      <c r="C291" t="s">
        <v>12</v>
      </c>
      <c r="D291" s="9">
        <v>1901.32</v>
      </c>
      <c r="E291">
        <v>7</v>
      </c>
      <c r="F291" t="s">
        <v>18</v>
      </c>
      <c r="G291" t="str">
        <f>CHOOSE(H291,"January","February","March","April","May","June","July","August","September","October","November","December")</f>
        <v>August</v>
      </c>
      <c r="H291">
        <f>MONTH(Table1[[#This Row],[Date]])</f>
        <v>8</v>
      </c>
      <c r="I291">
        <f>YEAR(Table1[[#This Row],[Date]])</f>
        <v>2023</v>
      </c>
    </row>
    <row r="292" spans="1:9" x14ac:dyDescent="0.35">
      <c r="A292" s="1">
        <v>45162</v>
      </c>
      <c r="B292" t="s">
        <v>6</v>
      </c>
      <c r="C292" t="s">
        <v>13</v>
      </c>
      <c r="D292" s="9">
        <v>586.49</v>
      </c>
      <c r="E292">
        <v>5</v>
      </c>
      <c r="F292" t="s">
        <v>19</v>
      </c>
      <c r="G292" t="str">
        <f>CHOOSE(H292,"January","February","March","April","May","June","July","August","September","October","November","December")</f>
        <v>August</v>
      </c>
      <c r="H292">
        <f>MONTH(Table1[[#This Row],[Date]])</f>
        <v>8</v>
      </c>
      <c r="I292">
        <f>YEAR(Table1[[#This Row],[Date]])</f>
        <v>2023</v>
      </c>
    </row>
    <row r="293" spans="1:9" x14ac:dyDescent="0.35">
      <c r="A293" s="1">
        <v>45163</v>
      </c>
      <c r="B293" t="s">
        <v>10</v>
      </c>
      <c r="C293" t="s">
        <v>13</v>
      </c>
      <c r="D293" s="9">
        <v>1114.1400000000001</v>
      </c>
      <c r="E293">
        <v>9</v>
      </c>
      <c r="F293" t="s">
        <v>15</v>
      </c>
      <c r="G293" t="str">
        <f>CHOOSE(H293,"January","February","March","April","May","June","July","August","September","October","November","December")</f>
        <v>August</v>
      </c>
      <c r="H293">
        <f>MONTH(Table1[[#This Row],[Date]])</f>
        <v>8</v>
      </c>
      <c r="I293">
        <f>YEAR(Table1[[#This Row],[Date]])</f>
        <v>2023</v>
      </c>
    </row>
    <row r="294" spans="1:9" x14ac:dyDescent="0.35">
      <c r="A294" s="1">
        <v>45163</v>
      </c>
      <c r="B294" t="s">
        <v>10</v>
      </c>
      <c r="C294" t="s">
        <v>14</v>
      </c>
      <c r="D294" s="9">
        <v>748.01</v>
      </c>
      <c r="E294">
        <v>1</v>
      </c>
      <c r="F294" t="s">
        <v>19</v>
      </c>
      <c r="G294" t="str">
        <f>CHOOSE(H294,"January","February","March","April","May","June","July","August","September","October","November","December")</f>
        <v>August</v>
      </c>
      <c r="H294">
        <f>MONTH(Table1[[#This Row],[Date]])</f>
        <v>8</v>
      </c>
      <c r="I294">
        <f>YEAR(Table1[[#This Row],[Date]])</f>
        <v>2023</v>
      </c>
    </row>
    <row r="295" spans="1:9" hidden="1" x14ac:dyDescent="0.35">
      <c r="A295" s="1">
        <v>44593</v>
      </c>
      <c r="B295" t="s">
        <v>8</v>
      </c>
      <c r="C295" t="s">
        <v>13</v>
      </c>
      <c r="D295">
        <v>1426.36</v>
      </c>
      <c r="E295">
        <v>6</v>
      </c>
      <c r="F295" t="s">
        <v>15</v>
      </c>
      <c r="G295" t="str">
        <f>CHOOSE(H295,"January","February","March","April","May","June","July","August","September","October","November","December")</f>
        <v>February</v>
      </c>
      <c r="H295">
        <f>MONTH(Table1[[#This Row],[Date]])</f>
        <v>2</v>
      </c>
      <c r="I295">
        <f>YEAR(Table1[[#This Row],[Date]])</f>
        <v>2022</v>
      </c>
    </row>
    <row r="296" spans="1:9" hidden="1" x14ac:dyDescent="0.35">
      <c r="A296" s="1">
        <v>44674</v>
      </c>
      <c r="B296" t="s">
        <v>6</v>
      </c>
      <c r="C296" t="s">
        <v>11</v>
      </c>
      <c r="D296">
        <v>753.93</v>
      </c>
      <c r="E296">
        <v>6</v>
      </c>
      <c r="F296" t="s">
        <v>15</v>
      </c>
      <c r="G296" t="str">
        <f>CHOOSE(H296,"January","February","March","April","May","June","July","August","September","October","November","December")</f>
        <v>April</v>
      </c>
      <c r="H296">
        <f>MONTH(Table1[[#This Row],[Date]])</f>
        <v>4</v>
      </c>
      <c r="I296">
        <f>YEAR(Table1[[#This Row],[Date]])</f>
        <v>2022</v>
      </c>
    </row>
    <row r="297" spans="1:9" x14ac:dyDescent="0.35">
      <c r="A297" s="1">
        <v>45163</v>
      </c>
      <c r="B297" t="s">
        <v>9</v>
      </c>
      <c r="C297" t="s">
        <v>14</v>
      </c>
      <c r="D297" s="9">
        <v>690.94</v>
      </c>
      <c r="E297">
        <v>9</v>
      </c>
      <c r="F297" t="s">
        <v>16</v>
      </c>
      <c r="G297" t="str">
        <f>CHOOSE(H297,"January","February","March","April","May","June","July","August","September","October","November","December")</f>
        <v>August</v>
      </c>
      <c r="H297">
        <f>MONTH(Table1[[#This Row],[Date]])</f>
        <v>8</v>
      </c>
      <c r="I297">
        <f>YEAR(Table1[[#This Row],[Date]])</f>
        <v>2023</v>
      </c>
    </row>
    <row r="298" spans="1:9" x14ac:dyDescent="0.35">
      <c r="A298" s="1">
        <v>45164</v>
      </c>
      <c r="B298" t="s">
        <v>10</v>
      </c>
      <c r="C298" t="s">
        <v>13</v>
      </c>
      <c r="D298" s="9">
        <v>150.66</v>
      </c>
      <c r="E298">
        <v>9</v>
      </c>
      <c r="F298" t="s">
        <v>18</v>
      </c>
      <c r="G298" t="str">
        <f>CHOOSE(H298,"January","February","March","April","May","June","July","August","September","October","November","December")</f>
        <v>August</v>
      </c>
      <c r="H298">
        <f>MONTH(Table1[[#This Row],[Date]])</f>
        <v>8</v>
      </c>
      <c r="I298">
        <f>YEAR(Table1[[#This Row],[Date]])</f>
        <v>2023</v>
      </c>
    </row>
    <row r="299" spans="1:9" hidden="1" x14ac:dyDescent="0.35">
      <c r="A299" s="1">
        <v>44645</v>
      </c>
      <c r="B299" t="s">
        <v>10</v>
      </c>
      <c r="C299" t="s">
        <v>14</v>
      </c>
      <c r="D299">
        <v>1423.52</v>
      </c>
      <c r="E299">
        <v>6</v>
      </c>
      <c r="F299" t="s">
        <v>18</v>
      </c>
      <c r="G299" t="str">
        <f>CHOOSE(H299,"January","February","March","April","May","June","July","August","September","October","November","December")</f>
        <v>March</v>
      </c>
      <c r="H299">
        <f>MONTH(Table1[[#This Row],[Date]])</f>
        <v>3</v>
      </c>
      <c r="I299">
        <f>YEAR(Table1[[#This Row],[Date]])</f>
        <v>2022</v>
      </c>
    </row>
    <row r="300" spans="1:9" x14ac:dyDescent="0.35">
      <c r="A300" s="1">
        <v>45165</v>
      </c>
      <c r="B300" t="s">
        <v>9</v>
      </c>
      <c r="C300" t="s">
        <v>12</v>
      </c>
      <c r="D300" s="9">
        <v>1366.47</v>
      </c>
      <c r="E300">
        <v>4</v>
      </c>
      <c r="F300" t="s">
        <v>19</v>
      </c>
      <c r="G300" t="str">
        <f>CHOOSE(H300,"January","February","March","April","May","June","July","August","September","October","November","December")</f>
        <v>August</v>
      </c>
      <c r="H300">
        <f>MONTH(Table1[[#This Row],[Date]])</f>
        <v>8</v>
      </c>
      <c r="I300">
        <f>YEAR(Table1[[#This Row],[Date]])</f>
        <v>2023</v>
      </c>
    </row>
    <row r="301" spans="1:9" hidden="1" x14ac:dyDescent="0.35">
      <c r="A301" s="1">
        <v>44820</v>
      </c>
      <c r="B301" t="s">
        <v>9</v>
      </c>
      <c r="C301" t="s">
        <v>12</v>
      </c>
      <c r="D301">
        <v>342.88</v>
      </c>
      <c r="E301">
        <v>6</v>
      </c>
      <c r="F301" t="s">
        <v>15</v>
      </c>
      <c r="G301" t="str">
        <f>CHOOSE(H301,"January","February","March","April","May","June","July","August","September","October","November","December")</f>
        <v>September</v>
      </c>
      <c r="H301">
        <f>MONTH(Table1[[#This Row],[Date]])</f>
        <v>9</v>
      </c>
      <c r="I301">
        <f>YEAR(Table1[[#This Row],[Date]])</f>
        <v>2022</v>
      </c>
    </row>
    <row r="302" spans="1:9" x14ac:dyDescent="0.35">
      <c r="A302" s="1">
        <v>45168</v>
      </c>
      <c r="B302" t="s">
        <v>10</v>
      </c>
      <c r="C302" t="s">
        <v>12</v>
      </c>
      <c r="D302" s="9">
        <v>1019.56</v>
      </c>
      <c r="E302">
        <v>3</v>
      </c>
      <c r="F302" t="s">
        <v>16</v>
      </c>
      <c r="G302" t="str">
        <f>CHOOSE(H302,"January","February","March","April","May","June","July","August","September","October","November","December")</f>
        <v>August</v>
      </c>
      <c r="H302">
        <f>MONTH(Table1[[#This Row],[Date]])</f>
        <v>8</v>
      </c>
      <c r="I302">
        <f>YEAR(Table1[[#This Row],[Date]])</f>
        <v>2023</v>
      </c>
    </row>
    <row r="303" spans="1:9" hidden="1" x14ac:dyDescent="0.35">
      <c r="A303" s="1">
        <v>44691</v>
      </c>
      <c r="B303" t="s">
        <v>7</v>
      </c>
      <c r="C303" t="s">
        <v>14</v>
      </c>
      <c r="D303">
        <v>1941.23</v>
      </c>
      <c r="E303">
        <v>6</v>
      </c>
      <c r="F303" t="s">
        <v>15</v>
      </c>
      <c r="G303" t="str">
        <f>CHOOSE(H303,"January","February","March","April","May","June","July","August","September","October","November","December")</f>
        <v>May</v>
      </c>
      <c r="H303">
        <f>MONTH(Table1[[#This Row],[Date]])</f>
        <v>5</v>
      </c>
      <c r="I303">
        <f>YEAR(Table1[[#This Row],[Date]])</f>
        <v>2022</v>
      </c>
    </row>
    <row r="304" spans="1:9" hidden="1" x14ac:dyDescent="0.35">
      <c r="A304" s="1">
        <v>44833</v>
      </c>
      <c r="B304" t="s">
        <v>8</v>
      </c>
      <c r="C304" t="s">
        <v>11</v>
      </c>
      <c r="D304">
        <v>1460.93</v>
      </c>
      <c r="E304">
        <v>7</v>
      </c>
      <c r="F304" t="s">
        <v>18</v>
      </c>
      <c r="G304" t="str">
        <f>CHOOSE(H304,"January","February","March","April","May","June","July","August","September","October","November","December")</f>
        <v>September</v>
      </c>
      <c r="H304">
        <f>MONTH(Table1[[#This Row],[Date]])</f>
        <v>9</v>
      </c>
      <c r="I304">
        <f>YEAR(Table1[[#This Row],[Date]])</f>
        <v>2022</v>
      </c>
    </row>
    <row r="305" spans="1:9" x14ac:dyDescent="0.35">
      <c r="A305" s="1">
        <v>45168</v>
      </c>
      <c r="B305" t="s">
        <v>9</v>
      </c>
      <c r="C305" t="s">
        <v>14</v>
      </c>
      <c r="D305" s="9">
        <v>463.54</v>
      </c>
      <c r="E305">
        <v>10</v>
      </c>
      <c r="F305" t="s">
        <v>15</v>
      </c>
      <c r="G305" t="str">
        <f>CHOOSE(H305,"January","February","March","April","May","June","July","August","September","October","November","December")</f>
        <v>August</v>
      </c>
      <c r="H305">
        <f>MONTH(Table1[[#This Row],[Date]])</f>
        <v>8</v>
      </c>
      <c r="I305">
        <f>YEAR(Table1[[#This Row],[Date]])</f>
        <v>2023</v>
      </c>
    </row>
    <row r="306" spans="1:9" x14ac:dyDescent="0.35">
      <c r="A306" s="1">
        <v>45170</v>
      </c>
      <c r="B306" t="s">
        <v>8</v>
      </c>
      <c r="C306" t="s">
        <v>13</v>
      </c>
      <c r="D306" s="9">
        <v>1609.99</v>
      </c>
      <c r="E306">
        <v>3</v>
      </c>
      <c r="F306" t="s">
        <v>19</v>
      </c>
      <c r="G306" t="str">
        <f>CHOOSE(H306,"January","February","March","April","May","June","July","August","September","October","November","December")</f>
        <v>September</v>
      </c>
      <c r="H306">
        <f>MONTH(Table1[[#This Row],[Date]])</f>
        <v>9</v>
      </c>
      <c r="I306">
        <f>YEAR(Table1[[#This Row],[Date]])</f>
        <v>2023</v>
      </c>
    </row>
    <row r="307" spans="1:9" hidden="1" x14ac:dyDescent="0.35">
      <c r="A307" s="1">
        <v>44909</v>
      </c>
      <c r="B307" t="s">
        <v>9</v>
      </c>
      <c r="C307" t="s">
        <v>13</v>
      </c>
      <c r="D307">
        <v>1693.01</v>
      </c>
      <c r="E307">
        <v>7</v>
      </c>
      <c r="F307" t="s">
        <v>15</v>
      </c>
      <c r="G307" t="str">
        <f>CHOOSE(H307,"January","February","March","April","May","June","July","August","September","October","November","December")</f>
        <v>December</v>
      </c>
      <c r="H307">
        <f>MONTH(Table1[[#This Row],[Date]])</f>
        <v>12</v>
      </c>
      <c r="I307">
        <f>YEAR(Table1[[#This Row],[Date]])</f>
        <v>2022</v>
      </c>
    </row>
    <row r="308" spans="1:9" x14ac:dyDescent="0.35">
      <c r="A308" s="1">
        <v>45171</v>
      </c>
      <c r="B308" t="s">
        <v>10</v>
      </c>
      <c r="C308" t="s">
        <v>14</v>
      </c>
      <c r="D308" s="9">
        <v>1022.49</v>
      </c>
      <c r="E308">
        <v>5</v>
      </c>
      <c r="F308" t="s">
        <v>15</v>
      </c>
      <c r="G308" t="str">
        <f>CHOOSE(H308,"January","February","March","April","May","June","July","August","September","October","November","December")</f>
        <v>September</v>
      </c>
      <c r="H308">
        <f>MONTH(Table1[[#This Row],[Date]])</f>
        <v>9</v>
      </c>
      <c r="I308">
        <f>YEAR(Table1[[#This Row],[Date]])</f>
        <v>2023</v>
      </c>
    </row>
    <row r="309" spans="1:9" x14ac:dyDescent="0.35">
      <c r="A309" s="1">
        <v>45172</v>
      </c>
      <c r="B309" t="s">
        <v>9</v>
      </c>
      <c r="C309" t="s">
        <v>14</v>
      </c>
      <c r="D309" s="9">
        <v>832.83</v>
      </c>
      <c r="E309">
        <v>3</v>
      </c>
      <c r="F309" t="s">
        <v>17</v>
      </c>
      <c r="G309" t="str">
        <f>CHOOSE(H309,"January","February","March","April","May","June","July","August","September","October","November","December")</f>
        <v>September</v>
      </c>
      <c r="H309">
        <f>MONTH(Table1[[#This Row],[Date]])</f>
        <v>9</v>
      </c>
      <c r="I309">
        <f>YEAR(Table1[[#This Row],[Date]])</f>
        <v>2023</v>
      </c>
    </row>
    <row r="310" spans="1:9" x14ac:dyDescent="0.35">
      <c r="A310" s="1">
        <v>45173</v>
      </c>
      <c r="B310" t="s">
        <v>8</v>
      </c>
      <c r="C310" t="s">
        <v>14</v>
      </c>
      <c r="D310" s="9">
        <v>867.48</v>
      </c>
      <c r="E310">
        <v>10</v>
      </c>
      <c r="F310" t="s">
        <v>19</v>
      </c>
      <c r="G310" t="str">
        <f>CHOOSE(H310,"January","February","March","April","May","June","July","August","September","October","November","December")</f>
        <v>September</v>
      </c>
      <c r="H310">
        <f>MONTH(Table1[[#This Row],[Date]])</f>
        <v>9</v>
      </c>
      <c r="I310">
        <f>YEAR(Table1[[#This Row],[Date]])</f>
        <v>2023</v>
      </c>
    </row>
    <row r="311" spans="1:9" hidden="1" x14ac:dyDescent="0.35">
      <c r="A311" s="1">
        <v>44804</v>
      </c>
      <c r="B311" t="s">
        <v>7</v>
      </c>
      <c r="C311" t="s">
        <v>12</v>
      </c>
      <c r="D311">
        <v>1441.47</v>
      </c>
      <c r="E311">
        <v>7</v>
      </c>
      <c r="F311" t="s">
        <v>16</v>
      </c>
      <c r="G311" t="str">
        <f>CHOOSE(H311,"January","February","March","April","May","June","July","August","September","October","November","December")</f>
        <v>August</v>
      </c>
      <c r="H311">
        <f>MONTH(Table1[[#This Row],[Date]])</f>
        <v>8</v>
      </c>
      <c r="I311">
        <f>YEAR(Table1[[#This Row],[Date]])</f>
        <v>2022</v>
      </c>
    </row>
    <row r="312" spans="1:9" hidden="1" x14ac:dyDescent="0.35">
      <c r="A312" s="1">
        <v>44631</v>
      </c>
      <c r="B312" t="s">
        <v>9</v>
      </c>
      <c r="C312" t="s">
        <v>12</v>
      </c>
      <c r="D312">
        <v>778.66</v>
      </c>
      <c r="E312">
        <v>7</v>
      </c>
      <c r="F312" t="s">
        <v>15</v>
      </c>
      <c r="G312" t="str">
        <f>CHOOSE(H312,"January","February","March","April","May","June","July","August","September","October","November","December")</f>
        <v>March</v>
      </c>
      <c r="H312">
        <f>MONTH(Table1[[#This Row],[Date]])</f>
        <v>3</v>
      </c>
      <c r="I312">
        <f>YEAR(Table1[[#This Row],[Date]])</f>
        <v>2022</v>
      </c>
    </row>
    <row r="313" spans="1:9" x14ac:dyDescent="0.35">
      <c r="A313" s="1">
        <v>45174</v>
      </c>
      <c r="B313" t="s">
        <v>7</v>
      </c>
      <c r="C313" t="s">
        <v>11</v>
      </c>
      <c r="D313" s="9">
        <v>1127.44</v>
      </c>
      <c r="E313">
        <v>5</v>
      </c>
      <c r="F313" t="s">
        <v>17</v>
      </c>
      <c r="G313" t="str">
        <f>CHOOSE(H313,"January","February","March","April","May","June","July","August","September","October","November","December")</f>
        <v>September</v>
      </c>
      <c r="H313">
        <f>MONTH(Table1[[#This Row],[Date]])</f>
        <v>9</v>
      </c>
      <c r="I313">
        <f>YEAR(Table1[[#This Row],[Date]])</f>
        <v>2023</v>
      </c>
    </row>
    <row r="314" spans="1:9" x14ac:dyDescent="0.35">
      <c r="A314" s="1">
        <v>45175</v>
      </c>
      <c r="B314" t="s">
        <v>9</v>
      </c>
      <c r="C314" t="s">
        <v>14</v>
      </c>
      <c r="D314" s="9">
        <v>1319.22</v>
      </c>
      <c r="E314">
        <v>7</v>
      </c>
      <c r="F314" t="s">
        <v>16</v>
      </c>
      <c r="G314" t="str">
        <f>CHOOSE(H314,"January","February","March","April","May","June","July","August","September","October","November","December")</f>
        <v>September</v>
      </c>
      <c r="H314">
        <f>MONTH(Table1[[#This Row],[Date]])</f>
        <v>9</v>
      </c>
      <c r="I314">
        <f>YEAR(Table1[[#This Row],[Date]])</f>
        <v>2023</v>
      </c>
    </row>
    <row r="315" spans="1:9" x14ac:dyDescent="0.35">
      <c r="A315" s="1">
        <v>45176</v>
      </c>
      <c r="B315" t="s">
        <v>8</v>
      </c>
      <c r="C315" t="s">
        <v>11</v>
      </c>
      <c r="D315" s="9">
        <v>680.9</v>
      </c>
      <c r="E315">
        <v>4</v>
      </c>
      <c r="F315" t="s">
        <v>19</v>
      </c>
      <c r="G315" t="str">
        <f>CHOOSE(H315,"January","February","March","April","May","June","July","August","September","October","November","December")</f>
        <v>September</v>
      </c>
      <c r="H315">
        <f>MONTH(Table1[[#This Row],[Date]])</f>
        <v>9</v>
      </c>
      <c r="I315">
        <f>YEAR(Table1[[#This Row],[Date]])</f>
        <v>2023</v>
      </c>
    </row>
    <row r="316" spans="1:9" x14ac:dyDescent="0.35">
      <c r="A316" s="1">
        <v>45176</v>
      </c>
      <c r="B316" t="s">
        <v>7</v>
      </c>
      <c r="C316" t="s">
        <v>14</v>
      </c>
      <c r="D316" s="9">
        <v>559.14</v>
      </c>
      <c r="E316">
        <v>9</v>
      </c>
      <c r="F316" t="s">
        <v>18</v>
      </c>
      <c r="G316" t="str">
        <f>CHOOSE(H316,"January","February","March","April","May","June","July","August","September","October","November","December")</f>
        <v>September</v>
      </c>
      <c r="H316">
        <f>MONTH(Table1[[#This Row],[Date]])</f>
        <v>9</v>
      </c>
      <c r="I316">
        <f>YEAR(Table1[[#This Row],[Date]])</f>
        <v>2023</v>
      </c>
    </row>
    <row r="317" spans="1:9" hidden="1" x14ac:dyDescent="0.35">
      <c r="A317" s="1">
        <v>44775</v>
      </c>
      <c r="B317" t="s">
        <v>9</v>
      </c>
      <c r="C317" t="s">
        <v>14</v>
      </c>
      <c r="D317">
        <v>1616.73</v>
      </c>
      <c r="E317">
        <v>7</v>
      </c>
      <c r="F317" t="s">
        <v>15</v>
      </c>
      <c r="G317" t="str">
        <f>CHOOSE(H317,"January","February","March","April","May","June","July","August","September","October","November","December")</f>
        <v>August</v>
      </c>
      <c r="H317">
        <f>MONTH(Table1[[#This Row],[Date]])</f>
        <v>8</v>
      </c>
      <c r="I317">
        <f>YEAR(Table1[[#This Row],[Date]])</f>
        <v>2022</v>
      </c>
    </row>
    <row r="318" spans="1:9" hidden="1" x14ac:dyDescent="0.35">
      <c r="A318" s="1">
        <v>44582</v>
      </c>
      <c r="B318" t="s">
        <v>7</v>
      </c>
      <c r="C318" t="s">
        <v>14</v>
      </c>
      <c r="D318">
        <v>1318.23</v>
      </c>
      <c r="E318">
        <v>7</v>
      </c>
      <c r="F318" t="s">
        <v>19</v>
      </c>
      <c r="G318" t="str">
        <f>CHOOSE(H318,"January","February","March","April","May","June","July","August","September","October","November","December")</f>
        <v>January</v>
      </c>
      <c r="H318">
        <f>MONTH(Table1[[#This Row],[Date]])</f>
        <v>1</v>
      </c>
      <c r="I318">
        <f>YEAR(Table1[[#This Row],[Date]])</f>
        <v>2022</v>
      </c>
    </row>
    <row r="319" spans="1:9" x14ac:dyDescent="0.35">
      <c r="A319" s="1">
        <v>45177</v>
      </c>
      <c r="B319" t="s">
        <v>10</v>
      </c>
      <c r="C319" t="s">
        <v>14</v>
      </c>
      <c r="D319" s="9">
        <v>1603.57</v>
      </c>
      <c r="E319">
        <v>4</v>
      </c>
      <c r="F319" t="s">
        <v>17</v>
      </c>
      <c r="G319" t="str">
        <f>CHOOSE(H319,"January","February","March","April","May","June","July","August","September","October","November","December")</f>
        <v>September</v>
      </c>
      <c r="H319">
        <f>MONTH(Table1[[#This Row],[Date]])</f>
        <v>9</v>
      </c>
      <c r="I319">
        <f>YEAR(Table1[[#This Row],[Date]])</f>
        <v>2023</v>
      </c>
    </row>
    <row r="320" spans="1:9" x14ac:dyDescent="0.35">
      <c r="A320" s="1">
        <v>45177</v>
      </c>
      <c r="B320" t="s">
        <v>8</v>
      </c>
      <c r="C320" t="s">
        <v>12</v>
      </c>
      <c r="D320" s="9">
        <v>972.49</v>
      </c>
      <c r="E320">
        <v>9</v>
      </c>
      <c r="F320" t="s">
        <v>15</v>
      </c>
      <c r="G320" t="str">
        <f>CHOOSE(H320,"January","February","March","April","May","June","July","August","September","October","November","December")</f>
        <v>September</v>
      </c>
      <c r="H320">
        <f>MONTH(Table1[[#This Row],[Date]])</f>
        <v>9</v>
      </c>
      <c r="I320">
        <f>YEAR(Table1[[#This Row],[Date]])</f>
        <v>2023</v>
      </c>
    </row>
    <row r="321" spans="1:9" x14ac:dyDescent="0.35">
      <c r="A321" s="1">
        <v>45179</v>
      </c>
      <c r="B321" t="s">
        <v>9</v>
      </c>
      <c r="C321" t="s">
        <v>11</v>
      </c>
      <c r="D321" s="9">
        <v>692.03</v>
      </c>
      <c r="E321">
        <v>5</v>
      </c>
      <c r="F321" t="s">
        <v>15</v>
      </c>
      <c r="G321" t="str">
        <f>CHOOSE(H321,"January","February","March","April","May","June","July","August","September","October","November","December")</f>
        <v>September</v>
      </c>
      <c r="H321">
        <f>MONTH(Table1[[#This Row],[Date]])</f>
        <v>9</v>
      </c>
      <c r="I321">
        <f>YEAR(Table1[[#This Row],[Date]])</f>
        <v>2023</v>
      </c>
    </row>
    <row r="322" spans="1:9" hidden="1" x14ac:dyDescent="0.35">
      <c r="A322" s="1">
        <v>44721</v>
      </c>
      <c r="B322" t="s">
        <v>10</v>
      </c>
      <c r="C322" t="s">
        <v>13</v>
      </c>
      <c r="D322">
        <v>1164.28</v>
      </c>
      <c r="E322">
        <v>7</v>
      </c>
      <c r="F322" t="s">
        <v>17</v>
      </c>
      <c r="G322" t="str">
        <f>CHOOSE(H322,"January","February","March","April","May","June","July","August","September","October","November","December")</f>
        <v>June</v>
      </c>
      <c r="H322">
        <f>MONTH(Table1[[#This Row],[Date]])</f>
        <v>6</v>
      </c>
      <c r="I322">
        <f>YEAR(Table1[[#This Row],[Date]])</f>
        <v>2022</v>
      </c>
    </row>
    <row r="323" spans="1:9" hidden="1" x14ac:dyDescent="0.35">
      <c r="A323" s="1">
        <v>44582</v>
      </c>
      <c r="B323" t="s">
        <v>8</v>
      </c>
      <c r="C323" t="s">
        <v>11</v>
      </c>
      <c r="D323">
        <v>981.19</v>
      </c>
      <c r="E323">
        <v>7</v>
      </c>
      <c r="F323" t="s">
        <v>17</v>
      </c>
      <c r="G323" t="str">
        <f>CHOOSE(H323,"January","February","March","April","May","June","July","August","September","October","November","December")</f>
        <v>January</v>
      </c>
      <c r="H323">
        <f>MONTH(Table1[[#This Row],[Date]])</f>
        <v>1</v>
      </c>
      <c r="I323">
        <f>YEAR(Table1[[#This Row],[Date]])</f>
        <v>2022</v>
      </c>
    </row>
    <row r="324" spans="1:9" x14ac:dyDescent="0.35">
      <c r="A324" s="1">
        <v>45179</v>
      </c>
      <c r="B324" t="s">
        <v>6</v>
      </c>
      <c r="C324" t="s">
        <v>14</v>
      </c>
      <c r="D324" s="9">
        <v>561.21</v>
      </c>
      <c r="E324">
        <v>6</v>
      </c>
      <c r="F324" t="s">
        <v>15</v>
      </c>
      <c r="G324" t="str">
        <f>CHOOSE(H324,"January","February","March","April","May","June","July","August","September","October","November","December")</f>
        <v>September</v>
      </c>
      <c r="H324">
        <f>MONTH(Table1[[#This Row],[Date]])</f>
        <v>9</v>
      </c>
      <c r="I324">
        <f>YEAR(Table1[[#This Row],[Date]])</f>
        <v>2023</v>
      </c>
    </row>
    <row r="325" spans="1:9" hidden="1" x14ac:dyDescent="0.35">
      <c r="A325" s="1">
        <v>44874</v>
      </c>
      <c r="B325" t="s">
        <v>9</v>
      </c>
      <c r="C325" t="s">
        <v>11</v>
      </c>
      <c r="D325">
        <v>1826.25</v>
      </c>
      <c r="E325">
        <v>7</v>
      </c>
      <c r="F325" t="s">
        <v>17</v>
      </c>
      <c r="G325" t="str">
        <f>CHOOSE(H325,"January","February","March","April","May","June","July","August","September","October","November","December")</f>
        <v>November</v>
      </c>
      <c r="H325">
        <f>MONTH(Table1[[#This Row],[Date]])</f>
        <v>11</v>
      </c>
      <c r="I325">
        <f>YEAR(Table1[[#This Row],[Date]])</f>
        <v>2022</v>
      </c>
    </row>
    <row r="326" spans="1:9" x14ac:dyDescent="0.35">
      <c r="A326" s="1">
        <v>45180</v>
      </c>
      <c r="B326" t="s">
        <v>8</v>
      </c>
      <c r="C326" t="s">
        <v>13</v>
      </c>
      <c r="D326" s="9">
        <v>1873.53</v>
      </c>
      <c r="E326">
        <v>2</v>
      </c>
      <c r="F326" t="s">
        <v>15</v>
      </c>
      <c r="G326" t="str">
        <f>CHOOSE(H326,"January","February","March","April","May","June","July","August","September","October","November","December")</f>
        <v>September</v>
      </c>
      <c r="H326">
        <f>MONTH(Table1[[#This Row],[Date]])</f>
        <v>9</v>
      </c>
      <c r="I326">
        <f>YEAR(Table1[[#This Row],[Date]])</f>
        <v>2023</v>
      </c>
    </row>
    <row r="327" spans="1:9" x14ac:dyDescent="0.35">
      <c r="A327" s="1">
        <v>45180</v>
      </c>
      <c r="B327" t="s">
        <v>7</v>
      </c>
      <c r="C327" t="s">
        <v>13</v>
      </c>
      <c r="D327" s="9">
        <v>1101.5899999999999</v>
      </c>
      <c r="E327">
        <v>1</v>
      </c>
      <c r="F327" t="s">
        <v>18</v>
      </c>
      <c r="G327" t="str">
        <f>CHOOSE(H327,"January","February","March","April","May","June","July","August","September","October","November","December")</f>
        <v>September</v>
      </c>
      <c r="H327">
        <f>MONTH(Table1[[#This Row],[Date]])</f>
        <v>9</v>
      </c>
      <c r="I327">
        <f>YEAR(Table1[[#This Row],[Date]])</f>
        <v>2023</v>
      </c>
    </row>
    <row r="328" spans="1:9" x14ac:dyDescent="0.35">
      <c r="A328" s="1">
        <v>45180</v>
      </c>
      <c r="B328" t="s">
        <v>8</v>
      </c>
      <c r="C328" t="s">
        <v>12</v>
      </c>
      <c r="D328" s="9">
        <v>1066.98</v>
      </c>
      <c r="E328">
        <v>8</v>
      </c>
      <c r="F328" t="s">
        <v>18</v>
      </c>
      <c r="G328" t="str">
        <f>CHOOSE(H328,"January","February","March","April","May","June","July","August","September","October","November","December")</f>
        <v>September</v>
      </c>
      <c r="H328">
        <f>MONTH(Table1[[#This Row],[Date]])</f>
        <v>9</v>
      </c>
      <c r="I328">
        <f>YEAR(Table1[[#This Row],[Date]])</f>
        <v>2023</v>
      </c>
    </row>
    <row r="329" spans="1:9" hidden="1" x14ac:dyDescent="0.35">
      <c r="A329" s="1">
        <v>44848</v>
      </c>
      <c r="B329" t="s">
        <v>9</v>
      </c>
      <c r="C329" t="s">
        <v>11</v>
      </c>
      <c r="D329">
        <v>1505.08</v>
      </c>
      <c r="E329">
        <v>7</v>
      </c>
      <c r="F329" t="s">
        <v>19</v>
      </c>
      <c r="G329" t="str">
        <f>CHOOSE(H329,"January","February","March","April","May","June","July","August","September","October","November","December")</f>
        <v>October</v>
      </c>
      <c r="H329">
        <f>MONTH(Table1[[#This Row],[Date]])</f>
        <v>10</v>
      </c>
      <c r="I329">
        <f>YEAR(Table1[[#This Row],[Date]])</f>
        <v>2022</v>
      </c>
    </row>
    <row r="330" spans="1:9" x14ac:dyDescent="0.35">
      <c r="A330" s="1">
        <v>45181</v>
      </c>
      <c r="B330" t="s">
        <v>8</v>
      </c>
      <c r="C330" t="s">
        <v>14</v>
      </c>
      <c r="D330" s="9">
        <v>1324.12</v>
      </c>
      <c r="E330">
        <v>1</v>
      </c>
      <c r="F330" t="s">
        <v>19</v>
      </c>
      <c r="G330" t="str">
        <f>CHOOSE(H330,"January","February","March","April","May","June","July","August","September","October","November","December")</f>
        <v>September</v>
      </c>
      <c r="H330">
        <f>MONTH(Table1[[#This Row],[Date]])</f>
        <v>9</v>
      </c>
      <c r="I330">
        <f>YEAR(Table1[[#This Row],[Date]])</f>
        <v>2023</v>
      </c>
    </row>
    <row r="331" spans="1:9" hidden="1" x14ac:dyDescent="0.35">
      <c r="A331" s="1">
        <v>44651</v>
      </c>
      <c r="B331" t="s">
        <v>8</v>
      </c>
      <c r="C331" t="s">
        <v>11</v>
      </c>
      <c r="D331">
        <v>292.85000000000002</v>
      </c>
      <c r="E331">
        <v>7</v>
      </c>
      <c r="F331" t="s">
        <v>16</v>
      </c>
      <c r="G331" t="str">
        <f>CHOOSE(H331,"January","February","March","April","May","June","July","August","September","October","November","December")</f>
        <v>March</v>
      </c>
      <c r="H331">
        <f>MONTH(Table1[[#This Row],[Date]])</f>
        <v>3</v>
      </c>
      <c r="I331">
        <f>YEAR(Table1[[#This Row],[Date]])</f>
        <v>2022</v>
      </c>
    </row>
    <row r="332" spans="1:9" hidden="1" x14ac:dyDescent="0.35">
      <c r="A332" s="1">
        <v>44727</v>
      </c>
      <c r="B332" t="s">
        <v>10</v>
      </c>
      <c r="C332" t="s">
        <v>12</v>
      </c>
      <c r="D332">
        <v>1931.66</v>
      </c>
      <c r="E332">
        <v>7</v>
      </c>
      <c r="F332" t="s">
        <v>18</v>
      </c>
      <c r="G332" t="str">
        <f>CHOOSE(H332,"January","February","March","April","May","June","July","August","September","October","November","December")</f>
        <v>June</v>
      </c>
      <c r="H332">
        <f>MONTH(Table1[[#This Row],[Date]])</f>
        <v>6</v>
      </c>
      <c r="I332">
        <f>YEAR(Table1[[#This Row],[Date]])</f>
        <v>2022</v>
      </c>
    </row>
    <row r="333" spans="1:9" hidden="1" x14ac:dyDescent="0.35">
      <c r="A333" s="1">
        <v>44791</v>
      </c>
      <c r="B333" t="s">
        <v>6</v>
      </c>
      <c r="C333" t="s">
        <v>13</v>
      </c>
      <c r="D333">
        <v>346.28</v>
      </c>
      <c r="E333">
        <v>7</v>
      </c>
      <c r="F333" t="s">
        <v>16</v>
      </c>
      <c r="G333" t="str">
        <f>CHOOSE(H333,"January","February","March","April","May","June","July","August","September","October","November","December")</f>
        <v>August</v>
      </c>
      <c r="H333">
        <f>MONTH(Table1[[#This Row],[Date]])</f>
        <v>8</v>
      </c>
      <c r="I333">
        <f>YEAR(Table1[[#This Row],[Date]])</f>
        <v>2022</v>
      </c>
    </row>
    <row r="334" spans="1:9" x14ac:dyDescent="0.35">
      <c r="A334" s="1">
        <v>45181</v>
      </c>
      <c r="B334" t="s">
        <v>9</v>
      </c>
      <c r="C334" t="s">
        <v>11</v>
      </c>
      <c r="D334" s="9">
        <v>176.55</v>
      </c>
      <c r="E334">
        <v>7</v>
      </c>
      <c r="F334" t="s">
        <v>18</v>
      </c>
      <c r="G334" t="str">
        <f>CHOOSE(H334,"January","February","March","April","May","June","July","August","September","October","November","December")</f>
        <v>September</v>
      </c>
      <c r="H334">
        <f>MONTH(Table1[[#This Row],[Date]])</f>
        <v>9</v>
      </c>
      <c r="I334">
        <f>YEAR(Table1[[#This Row],[Date]])</f>
        <v>2023</v>
      </c>
    </row>
    <row r="335" spans="1:9" x14ac:dyDescent="0.35">
      <c r="A335" s="1">
        <v>45182</v>
      </c>
      <c r="B335" t="s">
        <v>9</v>
      </c>
      <c r="C335" t="s">
        <v>14</v>
      </c>
      <c r="D335" s="9">
        <v>1386.26</v>
      </c>
      <c r="E335">
        <v>4</v>
      </c>
      <c r="F335" t="s">
        <v>19</v>
      </c>
      <c r="G335" t="str">
        <f>CHOOSE(H335,"January","February","March","April","May","June","July","August","September","October","November","December")</f>
        <v>September</v>
      </c>
      <c r="H335">
        <f>MONTH(Table1[[#This Row],[Date]])</f>
        <v>9</v>
      </c>
      <c r="I335">
        <f>YEAR(Table1[[#This Row],[Date]])</f>
        <v>2023</v>
      </c>
    </row>
    <row r="336" spans="1:9" x14ac:dyDescent="0.35">
      <c r="A336" s="1">
        <v>45183</v>
      </c>
      <c r="B336" t="s">
        <v>10</v>
      </c>
      <c r="C336" t="s">
        <v>13</v>
      </c>
      <c r="D336" s="9">
        <v>979.49</v>
      </c>
      <c r="E336">
        <v>1</v>
      </c>
      <c r="F336" t="s">
        <v>17</v>
      </c>
      <c r="G336" t="str">
        <f>CHOOSE(H336,"January","February","March","April","May","June","July","August","September","October","November","December")</f>
        <v>September</v>
      </c>
      <c r="H336">
        <f>MONTH(Table1[[#This Row],[Date]])</f>
        <v>9</v>
      </c>
      <c r="I336">
        <f>YEAR(Table1[[#This Row],[Date]])</f>
        <v>2023</v>
      </c>
    </row>
    <row r="337" spans="1:9" hidden="1" x14ac:dyDescent="0.35">
      <c r="A337" s="1">
        <v>44763</v>
      </c>
      <c r="B337" t="s">
        <v>8</v>
      </c>
      <c r="C337" t="s">
        <v>11</v>
      </c>
      <c r="D337">
        <v>603.95000000000005</v>
      </c>
      <c r="E337">
        <v>7</v>
      </c>
      <c r="F337" t="s">
        <v>16</v>
      </c>
      <c r="G337" t="str">
        <f>CHOOSE(H337,"January","February","March","April","May","June","July","August","September","October","November","December")</f>
        <v>July</v>
      </c>
      <c r="H337">
        <f>MONTH(Table1[[#This Row],[Date]])</f>
        <v>7</v>
      </c>
      <c r="I337">
        <f>YEAR(Table1[[#This Row],[Date]])</f>
        <v>2022</v>
      </c>
    </row>
    <row r="338" spans="1:9" hidden="1" x14ac:dyDescent="0.35">
      <c r="A338" s="1">
        <v>44708</v>
      </c>
      <c r="B338" t="s">
        <v>6</v>
      </c>
      <c r="C338" t="s">
        <v>12</v>
      </c>
      <c r="D338">
        <v>1228.94</v>
      </c>
      <c r="E338">
        <v>7</v>
      </c>
      <c r="F338" t="s">
        <v>19</v>
      </c>
      <c r="G338" t="str">
        <f>CHOOSE(H338,"January","February","March","April","May","June","July","August","September","October","November","December")</f>
        <v>May</v>
      </c>
      <c r="H338">
        <f>MONTH(Table1[[#This Row],[Date]])</f>
        <v>5</v>
      </c>
      <c r="I338">
        <f>YEAR(Table1[[#This Row],[Date]])</f>
        <v>2022</v>
      </c>
    </row>
    <row r="339" spans="1:9" hidden="1" x14ac:dyDescent="0.35">
      <c r="A339" s="1">
        <v>44618</v>
      </c>
      <c r="B339" t="s">
        <v>10</v>
      </c>
      <c r="C339" t="s">
        <v>12</v>
      </c>
      <c r="D339">
        <v>801.02</v>
      </c>
      <c r="E339">
        <v>7</v>
      </c>
      <c r="F339" t="s">
        <v>15</v>
      </c>
      <c r="G339" t="str">
        <f>CHOOSE(H339,"January","February","March","April","May","June","July","August","September","October","November","December")</f>
        <v>February</v>
      </c>
      <c r="H339">
        <f>MONTH(Table1[[#This Row],[Date]])</f>
        <v>2</v>
      </c>
      <c r="I339">
        <f>YEAR(Table1[[#This Row],[Date]])</f>
        <v>2022</v>
      </c>
    </row>
    <row r="340" spans="1:9" x14ac:dyDescent="0.35">
      <c r="A340" s="1">
        <v>45183</v>
      </c>
      <c r="B340" t="s">
        <v>8</v>
      </c>
      <c r="C340" t="s">
        <v>11</v>
      </c>
      <c r="D340" s="9">
        <v>856.83</v>
      </c>
      <c r="E340">
        <v>1</v>
      </c>
      <c r="F340" t="s">
        <v>19</v>
      </c>
      <c r="G340" t="str">
        <f>CHOOSE(H340,"January","February","March","April","May","June","July","August","September","October","November","December")</f>
        <v>September</v>
      </c>
      <c r="H340">
        <f>MONTH(Table1[[#This Row],[Date]])</f>
        <v>9</v>
      </c>
      <c r="I340">
        <f>YEAR(Table1[[#This Row],[Date]])</f>
        <v>2023</v>
      </c>
    </row>
    <row r="341" spans="1:9" x14ac:dyDescent="0.35">
      <c r="A341" s="1">
        <v>45184</v>
      </c>
      <c r="B341" t="s">
        <v>9</v>
      </c>
      <c r="C341" t="s">
        <v>12</v>
      </c>
      <c r="D341" s="9">
        <v>1161.96</v>
      </c>
      <c r="E341">
        <v>7</v>
      </c>
      <c r="F341" t="s">
        <v>15</v>
      </c>
      <c r="G341" t="str">
        <f>CHOOSE(H341,"January","February","March","April","May","June","July","August","September","October","November","December")</f>
        <v>September</v>
      </c>
      <c r="H341">
        <f>MONTH(Table1[[#This Row],[Date]])</f>
        <v>9</v>
      </c>
      <c r="I341">
        <f>YEAR(Table1[[#This Row],[Date]])</f>
        <v>2023</v>
      </c>
    </row>
    <row r="342" spans="1:9" hidden="1" x14ac:dyDescent="0.35">
      <c r="A342" s="1">
        <v>44874</v>
      </c>
      <c r="B342" t="s">
        <v>10</v>
      </c>
      <c r="C342" t="s">
        <v>14</v>
      </c>
      <c r="D342">
        <v>1540.89</v>
      </c>
      <c r="E342">
        <v>7</v>
      </c>
      <c r="F342" t="s">
        <v>18</v>
      </c>
      <c r="G342" t="str">
        <f>CHOOSE(H342,"January","February","March","April","May","June","July","August","September","October","November","December")</f>
        <v>November</v>
      </c>
      <c r="H342">
        <f>MONTH(Table1[[#This Row],[Date]])</f>
        <v>11</v>
      </c>
      <c r="I342">
        <f>YEAR(Table1[[#This Row],[Date]])</f>
        <v>2022</v>
      </c>
    </row>
    <row r="343" spans="1:9" x14ac:dyDescent="0.35">
      <c r="A343" s="1">
        <v>45185</v>
      </c>
      <c r="B343" t="s">
        <v>8</v>
      </c>
      <c r="C343" t="s">
        <v>14</v>
      </c>
      <c r="D343" s="9">
        <v>895.74</v>
      </c>
      <c r="E343">
        <v>3</v>
      </c>
      <c r="F343" t="s">
        <v>17</v>
      </c>
      <c r="G343" t="str">
        <f>CHOOSE(H343,"January","February","March","April","May","June","July","August","September","October","November","December")</f>
        <v>September</v>
      </c>
      <c r="H343">
        <f>MONTH(Table1[[#This Row],[Date]])</f>
        <v>9</v>
      </c>
      <c r="I343">
        <f>YEAR(Table1[[#This Row],[Date]])</f>
        <v>2023</v>
      </c>
    </row>
    <row r="344" spans="1:9" hidden="1" x14ac:dyDescent="0.35">
      <c r="A344" s="1">
        <v>44767</v>
      </c>
      <c r="B344" t="s">
        <v>6</v>
      </c>
      <c r="C344" t="s">
        <v>12</v>
      </c>
      <c r="D344">
        <v>1333.49</v>
      </c>
      <c r="E344">
        <v>7</v>
      </c>
      <c r="F344" t="s">
        <v>19</v>
      </c>
      <c r="G344" t="str">
        <f>CHOOSE(H344,"January","February","March","April","May","June","July","August","September","October","November","December")</f>
        <v>July</v>
      </c>
      <c r="H344">
        <f>MONTH(Table1[[#This Row],[Date]])</f>
        <v>7</v>
      </c>
      <c r="I344">
        <f>YEAR(Table1[[#This Row],[Date]])</f>
        <v>2022</v>
      </c>
    </row>
    <row r="345" spans="1:9" x14ac:dyDescent="0.35">
      <c r="A345" s="1">
        <v>45186</v>
      </c>
      <c r="B345" t="s">
        <v>6</v>
      </c>
      <c r="C345" t="s">
        <v>11</v>
      </c>
      <c r="D345" s="9">
        <v>414.68</v>
      </c>
      <c r="E345">
        <v>2</v>
      </c>
      <c r="F345" t="s">
        <v>18</v>
      </c>
      <c r="G345" t="str">
        <f>CHOOSE(H345,"January","February","March","April","May","June","July","August","September","October","November","December")</f>
        <v>September</v>
      </c>
      <c r="H345">
        <f>MONTH(Table1[[#This Row],[Date]])</f>
        <v>9</v>
      </c>
      <c r="I345">
        <f>YEAR(Table1[[#This Row],[Date]])</f>
        <v>2023</v>
      </c>
    </row>
    <row r="346" spans="1:9" hidden="1" x14ac:dyDescent="0.35">
      <c r="A346" s="1">
        <v>44645</v>
      </c>
      <c r="B346" t="s">
        <v>10</v>
      </c>
      <c r="C346" t="s">
        <v>14</v>
      </c>
      <c r="D346">
        <v>1977.72</v>
      </c>
      <c r="E346">
        <v>7</v>
      </c>
      <c r="F346" t="s">
        <v>16</v>
      </c>
      <c r="G346" t="str">
        <f>CHOOSE(H346,"January","February","March","April","May","June","July","August","September","October","November","December")</f>
        <v>March</v>
      </c>
      <c r="H346">
        <f>MONTH(Table1[[#This Row],[Date]])</f>
        <v>3</v>
      </c>
      <c r="I346">
        <f>YEAR(Table1[[#This Row],[Date]])</f>
        <v>2022</v>
      </c>
    </row>
    <row r="347" spans="1:9" x14ac:dyDescent="0.35">
      <c r="A347" s="1">
        <v>45187</v>
      </c>
      <c r="B347" t="s">
        <v>9</v>
      </c>
      <c r="C347" t="s">
        <v>13</v>
      </c>
      <c r="D347" s="9">
        <v>1826.41</v>
      </c>
      <c r="E347">
        <v>5</v>
      </c>
      <c r="F347" t="s">
        <v>17</v>
      </c>
      <c r="G347" t="str">
        <f>CHOOSE(H347,"January","February","March","April","May","June","July","August","September","October","November","December")</f>
        <v>September</v>
      </c>
      <c r="H347">
        <f>MONTH(Table1[[#This Row],[Date]])</f>
        <v>9</v>
      </c>
      <c r="I347">
        <f>YEAR(Table1[[#This Row],[Date]])</f>
        <v>2023</v>
      </c>
    </row>
    <row r="348" spans="1:9" hidden="1" x14ac:dyDescent="0.35">
      <c r="A348" s="1">
        <v>44830</v>
      </c>
      <c r="B348" t="s">
        <v>8</v>
      </c>
      <c r="C348" t="s">
        <v>12</v>
      </c>
      <c r="D348">
        <v>526.58000000000004</v>
      </c>
      <c r="E348">
        <v>7</v>
      </c>
      <c r="F348" t="s">
        <v>16</v>
      </c>
      <c r="G348" t="str">
        <f>CHOOSE(H348,"January","February","March","April","May","June","July","August","September","October","November","December")</f>
        <v>September</v>
      </c>
      <c r="H348">
        <f>MONTH(Table1[[#This Row],[Date]])</f>
        <v>9</v>
      </c>
      <c r="I348">
        <f>YEAR(Table1[[#This Row],[Date]])</f>
        <v>2022</v>
      </c>
    </row>
    <row r="349" spans="1:9" x14ac:dyDescent="0.35">
      <c r="A349" s="1">
        <v>45191</v>
      </c>
      <c r="B349" t="s">
        <v>9</v>
      </c>
      <c r="C349" t="s">
        <v>12</v>
      </c>
      <c r="D349" s="9">
        <v>553.86</v>
      </c>
      <c r="E349">
        <v>5</v>
      </c>
      <c r="F349" t="s">
        <v>18</v>
      </c>
      <c r="G349" t="str">
        <f>CHOOSE(H349,"January","February","March","April","May","June","July","August","September","October","November","December")</f>
        <v>September</v>
      </c>
      <c r="H349">
        <f>MONTH(Table1[[#This Row],[Date]])</f>
        <v>9</v>
      </c>
      <c r="I349">
        <f>YEAR(Table1[[#This Row],[Date]])</f>
        <v>2023</v>
      </c>
    </row>
    <row r="350" spans="1:9" x14ac:dyDescent="0.35">
      <c r="A350" s="1">
        <v>45191</v>
      </c>
      <c r="B350" t="s">
        <v>6</v>
      </c>
      <c r="C350" t="s">
        <v>11</v>
      </c>
      <c r="D350" s="9">
        <v>384.71</v>
      </c>
      <c r="E350">
        <v>6</v>
      </c>
      <c r="F350" t="s">
        <v>17</v>
      </c>
      <c r="G350" t="str">
        <f>CHOOSE(H350,"January","February","March","April","May","June","July","August","September","October","November","December")</f>
        <v>September</v>
      </c>
      <c r="H350">
        <f>MONTH(Table1[[#This Row],[Date]])</f>
        <v>9</v>
      </c>
      <c r="I350">
        <f>YEAR(Table1[[#This Row],[Date]])</f>
        <v>2023</v>
      </c>
    </row>
    <row r="351" spans="1:9" hidden="1" x14ac:dyDescent="0.35">
      <c r="A351" s="1">
        <v>44778</v>
      </c>
      <c r="B351" t="s">
        <v>10</v>
      </c>
      <c r="C351" t="s">
        <v>13</v>
      </c>
      <c r="D351">
        <v>1738.87</v>
      </c>
      <c r="E351">
        <v>7</v>
      </c>
      <c r="F351" t="s">
        <v>15</v>
      </c>
      <c r="G351" t="str">
        <f>CHOOSE(H351,"January","February","March","April","May","June","July","August","September","October","November","December")</f>
        <v>August</v>
      </c>
      <c r="H351">
        <f>MONTH(Table1[[#This Row],[Date]])</f>
        <v>8</v>
      </c>
      <c r="I351">
        <f>YEAR(Table1[[#This Row],[Date]])</f>
        <v>2022</v>
      </c>
    </row>
    <row r="352" spans="1:9" hidden="1" x14ac:dyDescent="0.35">
      <c r="A352" s="1">
        <v>44672</v>
      </c>
      <c r="B352" t="s">
        <v>8</v>
      </c>
      <c r="C352" t="s">
        <v>11</v>
      </c>
      <c r="D352">
        <v>898.64</v>
      </c>
      <c r="E352">
        <v>7</v>
      </c>
      <c r="F352" t="s">
        <v>15</v>
      </c>
      <c r="G352" t="str">
        <f>CHOOSE(H352,"January","February","March","April","May","June","July","August","September","October","November","December")</f>
        <v>April</v>
      </c>
      <c r="H352">
        <f>MONTH(Table1[[#This Row],[Date]])</f>
        <v>4</v>
      </c>
      <c r="I352">
        <f>YEAR(Table1[[#This Row],[Date]])</f>
        <v>2022</v>
      </c>
    </row>
    <row r="353" spans="1:9" x14ac:dyDescent="0.35">
      <c r="A353" s="1">
        <v>45193</v>
      </c>
      <c r="B353" t="s">
        <v>6</v>
      </c>
      <c r="C353" t="s">
        <v>14</v>
      </c>
      <c r="D353" s="9">
        <v>1353.88</v>
      </c>
      <c r="E353">
        <v>7</v>
      </c>
      <c r="F353" t="s">
        <v>16</v>
      </c>
      <c r="G353" t="str">
        <f>CHOOSE(H353,"January","February","March","April","May","June","July","August","September","October","November","December")</f>
        <v>September</v>
      </c>
      <c r="H353">
        <f>MONTH(Table1[[#This Row],[Date]])</f>
        <v>9</v>
      </c>
      <c r="I353">
        <f>YEAR(Table1[[#This Row],[Date]])</f>
        <v>2023</v>
      </c>
    </row>
    <row r="354" spans="1:9" hidden="1" x14ac:dyDescent="0.35">
      <c r="A354" s="1">
        <v>44668</v>
      </c>
      <c r="B354" t="s">
        <v>10</v>
      </c>
      <c r="C354" t="s">
        <v>12</v>
      </c>
      <c r="D354">
        <v>1318.15</v>
      </c>
      <c r="E354">
        <v>8</v>
      </c>
      <c r="F354" t="s">
        <v>19</v>
      </c>
      <c r="G354" t="str">
        <f>CHOOSE(H354,"January","February","March","April","May","June","July","August","September","October","November","December")</f>
        <v>April</v>
      </c>
      <c r="H354">
        <f>MONTH(Table1[[#This Row],[Date]])</f>
        <v>4</v>
      </c>
      <c r="I354">
        <f>YEAR(Table1[[#This Row],[Date]])</f>
        <v>2022</v>
      </c>
    </row>
    <row r="355" spans="1:9" hidden="1" x14ac:dyDescent="0.35">
      <c r="A355" s="1">
        <v>44671</v>
      </c>
      <c r="B355" t="s">
        <v>6</v>
      </c>
      <c r="C355" t="s">
        <v>14</v>
      </c>
      <c r="D355">
        <v>1547.46</v>
      </c>
      <c r="E355">
        <v>8</v>
      </c>
      <c r="F355" t="s">
        <v>19</v>
      </c>
      <c r="G355" t="str">
        <f>CHOOSE(H355,"January","February","March","April","May","June","July","August","September","October","November","December")</f>
        <v>April</v>
      </c>
      <c r="H355">
        <f>MONTH(Table1[[#This Row],[Date]])</f>
        <v>4</v>
      </c>
      <c r="I355">
        <f>YEAR(Table1[[#This Row],[Date]])</f>
        <v>2022</v>
      </c>
    </row>
    <row r="356" spans="1:9" hidden="1" x14ac:dyDescent="0.35">
      <c r="A356" s="1">
        <v>44708</v>
      </c>
      <c r="B356" t="s">
        <v>8</v>
      </c>
      <c r="C356" t="s">
        <v>14</v>
      </c>
      <c r="D356">
        <v>1159.05</v>
      </c>
      <c r="E356">
        <v>8</v>
      </c>
      <c r="F356" t="s">
        <v>19</v>
      </c>
      <c r="G356" t="str">
        <f>CHOOSE(H356,"January","February","March","April","May","June","July","August","September","October","November","December")</f>
        <v>May</v>
      </c>
      <c r="H356">
        <f>MONTH(Table1[[#This Row],[Date]])</f>
        <v>5</v>
      </c>
      <c r="I356">
        <f>YEAR(Table1[[#This Row],[Date]])</f>
        <v>2022</v>
      </c>
    </row>
    <row r="357" spans="1:9" x14ac:dyDescent="0.35">
      <c r="A357" s="1">
        <v>45193</v>
      </c>
      <c r="B357" t="s">
        <v>7</v>
      </c>
      <c r="C357" t="s">
        <v>12</v>
      </c>
      <c r="D357" s="9">
        <v>966.82</v>
      </c>
      <c r="E357">
        <v>6</v>
      </c>
      <c r="F357" t="s">
        <v>18</v>
      </c>
      <c r="G357" t="str">
        <f>CHOOSE(H357,"January","February","March","April","May","June","July","August","September","October","November","December")</f>
        <v>September</v>
      </c>
      <c r="H357">
        <f>MONTH(Table1[[#This Row],[Date]])</f>
        <v>9</v>
      </c>
      <c r="I357">
        <f>YEAR(Table1[[#This Row],[Date]])</f>
        <v>2023</v>
      </c>
    </row>
    <row r="358" spans="1:9" hidden="1" x14ac:dyDescent="0.35">
      <c r="A358" s="1">
        <v>44734</v>
      </c>
      <c r="B358" t="s">
        <v>10</v>
      </c>
      <c r="C358" t="s">
        <v>12</v>
      </c>
      <c r="D358">
        <v>1087.78</v>
      </c>
      <c r="E358">
        <v>8</v>
      </c>
      <c r="F358" t="s">
        <v>16</v>
      </c>
      <c r="G358" t="str">
        <f>CHOOSE(H358,"January","February","March","April","May","June","July","August","September","October","November","December")</f>
        <v>June</v>
      </c>
      <c r="H358">
        <f>MONTH(Table1[[#This Row],[Date]])</f>
        <v>6</v>
      </c>
      <c r="I358">
        <f>YEAR(Table1[[#This Row],[Date]])</f>
        <v>2022</v>
      </c>
    </row>
    <row r="359" spans="1:9" x14ac:dyDescent="0.35">
      <c r="A359" s="1">
        <v>45196</v>
      </c>
      <c r="B359" t="s">
        <v>7</v>
      </c>
      <c r="C359" t="s">
        <v>11</v>
      </c>
      <c r="D359" s="9">
        <v>674.75</v>
      </c>
      <c r="E359">
        <v>4</v>
      </c>
      <c r="F359" t="s">
        <v>19</v>
      </c>
      <c r="G359" t="str">
        <f>CHOOSE(H359,"January","February","March","April","May","June","July","August","September","October","November","December")</f>
        <v>September</v>
      </c>
      <c r="H359">
        <f>MONTH(Table1[[#This Row],[Date]])</f>
        <v>9</v>
      </c>
      <c r="I359">
        <f>YEAR(Table1[[#This Row],[Date]])</f>
        <v>2023</v>
      </c>
    </row>
    <row r="360" spans="1:9" x14ac:dyDescent="0.35">
      <c r="A360" s="1">
        <v>45199</v>
      </c>
      <c r="B360" t="s">
        <v>8</v>
      </c>
      <c r="C360" t="s">
        <v>12</v>
      </c>
      <c r="D360" s="9">
        <v>615.73</v>
      </c>
      <c r="E360">
        <v>1</v>
      </c>
      <c r="F360" t="s">
        <v>15</v>
      </c>
      <c r="G360" t="str">
        <f>CHOOSE(H360,"January","February","March","April","May","June","July","August","September","October","November","December")</f>
        <v>September</v>
      </c>
      <c r="H360">
        <f>MONTH(Table1[[#This Row],[Date]])</f>
        <v>9</v>
      </c>
      <c r="I360">
        <f>YEAR(Table1[[#This Row],[Date]])</f>
        <v>2023</v>
      </c>
    </row>
    <row r="361" spans="1:9" x14ac:dyDescent="0.35">
      <c r="A361" s="1">
        <v>45200</v>
      </c>
      <c r="B361" t="s">
        <v>8</v>
      </c>
      <c r="C361" t="s">
        <v>13</v>
      </c>
      <c r="D361" s="9">
        <v>1624.74</v>
      </c>
      <c r="E361">
        <v>1</v>
      </c>
      <c r="F361" t="s">
        <v>19</v>
      </c>
      <c r="G361" t="str">
        <f>CHOOSE(H361,"January","February","March","April","May","June","July","August","September","October","November","December")</f>
        <v>October</v>
      </c>
      <c r="H361">
        <f>MONTH(Table1[[#This Row],[Date]])</f>
        <v>10</v>
      </c>
      <c r="I361">
        <f>YEAR(Table1[[#This Row],[Date]])</f>
        <v>2023</v>
      </c>
    </row>
    <row r="362" spans="1:9" hidden="1" x14ac:dyDescent="0.35">
      <c r="A362" s="1">
        <v>44635</v>
      </c>
      <c r="B362" t="s">
        <v>8</v>
      </c>
      <c r="C362" t="s">
        <v>14</v>
      </c>
      <c r="D362">
        <v>1386.75</v>
      </c>
      <c r="E362">
        <v>8</v>
      </c>
      <c r="F362" t="s">
        <v>18</v>
      </c>
      <c r="G362" t="str">
        <f>CHOOSE(H362,"January","February","March","April","May","June","July","August","September","October","November","December")</f>
        <v>March</v>
      </c>
      <c r="H362">
        <f>MONTH(Table1[[#This Row],[Date]])</f>
        <v>3</v>
      </c>
      <c r="I362">
        <f>YEAR(Table1[[#This Row],[Date]])</f>
        <v>2022</v>
      </c>
    </row>
    <row r="363" spans="1:9" x14ac:dyDescent="0.35">
      <c r="A363" s="1">
        <v>45200</v>
      </c>
      <c r="B363" t="s">
        <v>7</v>
      </c>
      <c r="C363" t="s">
        <v>13</v>
      </c>
      <c r="D363" s="9">
        <v>1549.15</v>
      </c>
      <c r="E363">
        <v>9</v>
      </c>
      <c r="F363" t="s">
        <v>15</v>
      </c>
      <c r="G363" t="str">
        <f>CHOOSE(H363,"January","February","March","April","May","June","July","August","September","October","November","December")</f>
        <v>October</v>
      </c>
      <c r="H363">
        <f>MONTH(Table1[[#This Row],[Date]])</f>
        <v>10</v>
      </c>
      <c r="I363">
        <f>YEAR(Table1[[#This Row],[Date]])</f>
        <v>2023</v>
      </c>
    </row>
    <row r="364" spans="1:9" x14ac:dyDescent="0.35">
      <c r="A364" s="1">
        <v>45200</v>
      </c>
      <c r="B364" t="s">
        <v>7</v>
      </c>
      <c r="C364" t="s">
        <v>11</v>
      </c>
      <c r="D364" s="9">
        <v>134.66</v>
      </c>
      <c r="E364">
        <v>8</v>
      </c>
      <c r="F364" t="s">
        <v>18</v>
      </c>
      <c r="G364" t="str">
        <f>CHOOSE(H364,"January","February","March","April","May","June","July","August","September","October","November","December")</f>
        <v>October</v>
      </c>
      <c r="H364">
        <f>MONTH(Table1[[#This Row],[Date]])</f>
        <v>10</v>
      </c>
      <c r="I364">
        <f>YEAR(Table1[[#This Row],[Date]])</f>
        <v>2023</v>
      </c>
    </row>
    <row r="365" spans="1:9" hidden="1" x14ac:dyDescent="0.35">
      <c r="A365" s="1">
        <v>44802</v>
      </c>
      <c r="B365" t="s">
        <v>7</v>
      </c>
      <c r="C365" t="s">
        <v>12</v>
      </c>
      <c r="D365">
        <v>220.07</v>
      </c>
      <c r="E365">
        <v>8</v>
      </c>
      <c r="F365" t="s">
        <v>18</v>
      </c>
      <c r="G365" t="str">
        <f>CHOOSE(H365,"January","February","March","April","May","June","July","August","September","October","November","December")</f>
        <v>August</v>
      </c>
      <c r="H365">
        <f>MONTH(Table1[[#This Row],[Date]])</f>
        <v>8</v>
      </c>
      <c r="I365">
        <f>YEAR(Table1[[#This Row],[Date]])</f>
        <v>2022</v>
      </c>
    </row>
    <row r="366" spans="1:9" x14ac:dyDescent="0.35">
      <c r="A366" s="1">
        <v>45201</v>
      </c>
      <c r="B366" t="s">
        <v>9</v>
      </c>
      <c r="C366" t="s">
        <v>12</v>
      </c>
      <c r="D366" s="9">
        <v>359.48</v>
      </c>
      <c r="E366">
        <v>5</v>
      </c>
      <c r="F366" t="s">
        <v>18</v>
      </c>
      <c r="G366" t="str">
        <f>CHOOSE(H366,"January","February","March","April","May","June","July","August","September","October","November","December")</f>
        <v>October</v>
      </c>
      <c r="H366">
        <f>MONTH(Table1[[#This Row],[Date]])</f>
        <v>10</v>
      </c>
      <c r="I366">
        <f>YEAR(Table1[[#This Row],[Date]])</f>
        <v>2023</v>
      </c>
    </row>
    <row r="367" spans="1:9" hidden="1" x14ac:dyDescent="0.35">
      <c r="A367" s="1">
        <v>44852</v>
      </c>
      <c r="B367" t="s">
        <v>6</v>
      </c>
      <c r="C367" t="s">
        <v>12</v>
      </c>
      <c r="D367">
        <v>632.14</v>
      </c>
      <c r="E367">
        <v>8</v>
      </c>
      <c r="F367" t="s">
        <v>15</v>
      </c>
      <c r="G367" t="str">
        <f>CHOOSE(H367,"January","February","March","April","May","June","July","August","September","October","November","December")</f>
        <v>October</v>
      </c>
      <c r="H367">
        <f>MONTH(Table1[[#This Row],[Date]])</f>
        <v>10</v>
      </c>
      <c r="I367">
        <f>YEAR(Table1[[#This Row],[Date]])</f>
        <v>2022</v>
      </c>
    </row>
    <row r="368" spans="1:9" hidden="1" x14ac:dyDescent="0.35">
      <c r="A368" s="1">
        <v>44619</v>
      </c>
      <c r="B368" t="s">
        <v>10</v>
      </c>
      <c r="C368" t="s">
        <v>13</v>
      </c>
      <c r="D368">
        <v>1756.15</v>
      </c>
      <c r="E368">
        <v>8</v>
      </c>
      <c r="F368" t="s">
        <v>15</v>
      </c>
      <c r="G368" t="str">
        <f>CHOOSE(H368,"January","February","March","April","May","June","July","August","September","October","November","December")</f>
        <v>February</v>
      </c>
      <c r="H368">
        <f>MONTH(Table1[[#This Row],[Date]])</f>
        <v>2</v>
      </c>
      <c r="I368">
        <f>YEAR(Table1[[#This Row],[Date]])</f>
        <v>2022</v>
      </c>
    </row>
    <row r="369" spans="1:9" hidden="1" x14ac:dyDescent="0.35">
      <c r="A369" s="1">
        <v>44588</v>
      </c>
      <c r="B369" t="s">
        <v>6</v>
      </c>
      <c r="C369" t="s">
        <v>11</v>
      </c>
      <c r="D369">
        <v>856.52</v>
      </c>
      <c r="E369">
        <v>8</v>
      </c>
      <c r="F369" t="s">
        <v>15</v>
      </c>
      <c r="G369" t="str">
        <f>CHOOSE(H369,"January","February","March","April","May","June","July","August","September","October","November","December")</f>
        <v>January</v>
      </c>
      <c r="H369">
        <f>MONTH(Table1[[#This Row],[Date]])</f>
        <v>1</v>
      </c>
      <c r="I369">
        <f>YEAR(Table1[[#This Row],[Date]])</f>
        <v>2022</v>
      </c>
    </row>
    <row r="370" spans="1:9" x14ac:dyDescent="0.35">
      <c r="A370" s="1">
        <v>45202</v>
      </c>
      <c r="B370" t="s">
        <v>10</v>
      </c>
      <c r="C370" t="s">
        <v>11</v>
      </c>
      <c r="D370" s="9">
        <v>1089.76</v>
      </c>
      <c r="E370">
        <v>1</v>
      </c>
      <c r="F370" t="s">
        <v>15</v>
      </c>
      <c r="G370" t="str">
        <f>CHOOSE(H370,"January","February","March","April","May","June","July","August","September","October","November","December")</f>
        <v>October</v>
      </c>
      <c r="H370">
        <f>MONTH(Table1[[#This Row],[Date]])</f>
        <v>10</v>
      </c>
      <c r="I370">
        <f>YEAR(Table1[[#This Row],[Date]])</f>
        <v>2023</v>
      </c>
    </row>
    <row r="371" spans="1:9" hidden="1" x14ac:dyDescent="0.35">
      <c r="A371" s="1">
        <v>44614</v>
      </c>
      <c r="B371" t="s">
        <v>6</v>
      </c>
      <c r="C371" t="s">
        <v>14</v>
      </c>
      <c r="D371">
        <v>1974.31</v>
      </c>
      <c r="E371">
        <v>8</v>
      </c>
      <c r="F371" t="s">
        <v>16</v>
      </c>
      <c r="G371" t="str">
        <f>CHOOSE(H371,"January","February","March","April","May","June","July","August","September","October","November","December")</f>
        <v>February</v>
      </c>
      <c r="H371">
        <f>MONTH(Table1[[#This Row],[Date]])</f>
        <v>2</v>
      </c>
      <c r="I371">
        <f>YEAR(Table1[[#This Row],[Date]])</f>
        <v>2022</v>
      </c>
    </row>
    <row r="372" spans="1:9" x14ac:dyDescent="0.35">
      <c r="A372" s="1">
        <v>45203</v>
      </c>
      <c r="B372" t="s">
        <v>9</v>
      </c>
      <c r="C372" t="s">
        <v>14</v>
      </c>
      <c r="D372" s="9">
        <v>1868.67</v>
      </c>
      <c r="E372">
        <v>7</v>
      </c>
      <c r="F372" t="s">
        <v>16</v>
      </c>
      <c r="G372" t="str">
        <f>CHOOSE(H372,"January","February","March","April","May","June","July","August","September","October","November","December")</f>
        <v>October</v>
      </c>
      <c r="H372">
        <f>MONTH(Table1[[#This Row],[Date]])</f>
        <v>10</v>
      </c>
      <c r="I372">
        <f>YEAR(Table1[[#This Row],[Date]])</f>
        <v>2023</v>
      </c>
    </row>
    <row r="373" spans="1:9" hidden="1" x14ac:dyDescent="0.35">
      <c r="A373" s="1">
        <v>44842</v>
      </c>
      <c r="B373" t="s">
        <v>8</v>
      </c>
      <c r="C373" t="s">
        <v>14</v>
      </c>
      <c r="D373">
        <v>1903.36</v>
      </c>
      <c r="E373">
        <v>8</v>
      </c>
      <c r="F373" t="s">
        <v>17</v>
      </c>
      <c r="G373" t="str">
        <f>CHOOSE(H373,"January","February","March","April","May","June","July","August","September","October","November","December")</f>
        <v>October</v>
      </c>
      <c r="H373">
        <f>MONTH(Table1[[#This Row],[Date]])</f>
        <v>10</v>
      </c>
      <c r="I373">
        <f>YEAR(Table1[[#This Row],[Date]])</f>
        <v>2022</v>
      </c>
    </row>
    <row r="374" spans="1:9" x14ac:dyDescent="0.35">
      <c r="A374" s="1">
        <v>45203</v>
      </c>
      <c r="B374" t="s">
        <v>10</v>
      </c>
      <c r="C374" t="s">
        <v>12</v>
      </c>
      <c r="D374" s="9">
        <v>1687.82</v>
      </c>
      <c r="E374">
        <v>5</v>
      </c>
      <c r="F374" t="s">
        <v>17</v>
      </c>
      <c r="G374" t="str">
        <f>CHOOSE(H374,"January","February","March","April","May","June","July","August","September","October","November","December")</f>
        <v>October</v>
      </c>
      <c r="H374">
        <f>MONTH(Table1[[#This Row],[Date]])</f>
        <v>10</v>
      </c>
      <c r="I374">
        <f>YEAR(Table1[[#This Row],[Date]])</f>
        <v>2023</v>
      </c>
    </row>
    <row r="375" spans="1:9" x14ac:dyDescent="0.35">
      <c r="A375" s="1">
        <v>45203</v>
      </c>
      <c r="B375" t="s">
        <v>9</v>
      </c>
      <c r="C375" t="s">
        <v>12</v>
      </c>
      <c r="D375" s="9">
        <v>1028.8399999999999</v>
      </c>
      <c r="E375">
        <v>5</v>
      </c>
      <c r="F375" t="s">
        <v>15</v>
      </c>
      <c r="G375" t="str">
        <f>CHOOSE(H375,"January","February","March","April","May","June","July","August","September","October","November","December")</f>
        <v>October</v>
      </c>
      <c r="H375">
        <f>MONTH(Table1[[#This Row],[Date]])</f>
        <v>10</v>
      </c>
      <c r="I375">
        <f>YEAR(Table1[[#This Row],[Date]])</f>
        <v>2023</v>
      </c>
    </row>
    <row r="376" spans="1:9" hidden="1" x14ac:dyDescent="0.35">
      <c r="A376" s="1">
        <v>44754</v>
      </c>
      <c r="B376" t="s">
        <v>6</v>
      </c>
      <c r="C376" t="s">
        <v>12</v>
      </c>
      <c r="D376">
        <v>1330.74</v>
      </c>
      <c r="E376">
        <v>8</v>
      </c>
      <c r="F376" t="s">
        <v>17</v>
      </c>
      <c r="G376" t="str">
        <f>CHOOSE(H376,"January","February","March","April","May","June","July","August","September","October","November","December")</f>
        <v>July</v>
      </c>
      <c r="H376">
        <f>MONTH(Table1[[#This Row],[Date]])</f>
        <v>7</v>
      </c>
      <c r="I376">
        <f>YEAR(Table1[[#This Row],[Date]])</f>
        <v>2022</v>
      </c>
    </row>
    <row r="377" spans="1:9" hidden="1" x14ac:dyDescent="0.35">
      <c r="A377" s="1">
        <v>44823</v>
      </c>
      <c r="B377" t="s">
        <v>6</v>
      </c>
      <c r="C377" t="s">
        <v>12</v>
      </c>
      <c r="D377">
        <v>967.7</v>
      </c>
      <c r="E377">
        <v>8</v>
      </c>
      <c r="F377" t="s">
        <v>17</v>
      </c>
      <c r="G377" t="str">
        <f>CHOOSE(H377,"January","February","March","April","May","June","July","August","September","October","November","December")</f>
        <v>September</v>
      </c>
      <c r="H377">
        <f>MONTH(Table1[[#This Row],[Date]])</f>
        <v>9</v>
      </c>
      <c r="I377">
        <f>YEAR(Table1[[#This Row],[Date]])</f>
        <v>2022</v>
      </c>
    </row>
    <row r="378" spans="1:9" hidden="1" x14ac:dyDescent="0.35">
      <c r="A378" s="1">
        <v>44919</v>
      </c>
      <c r="B378" t="s">
        <v>10</v>
      </c>
      <c r="C378" t="s">
        <v>11</v>
      </c>
      <c r="D378">
        <v>401.5</v>
      </c>
      <c r="E378">
        <v>8</v>
      </c>
      <c r="F378" t="s">
        <v>17</v>
      </c>
      <c r="G378" t="str">
        <f>CHOOSE(H378,"January","February","March","April","May","June","July","August","September","October","November","December")</f>
        <v>December</v>
      </c>
      <c r="H378">
        <f>MONTH(Table1[[#This Row],[Date]])</f>
        <v>12</v>
      </c>
      <c r="I378">
        <f>YEAR(Table1[[#This Row],[Date]])</f>
        <v>2022</v>
      </c>
    </row>
    <row r="379" spans="1:9" x14ac:dyDescent="0.35">
      <c r="A379" s="1">
        <v>45203</v>
      </c>
      <c r="B379" t="s">
        <v>6</v>
      </c>
      <c r="C379" t="s">
        <v>14</v>
      </c>
      <c r="D379" s="9">
        <v>508.4</v>
      </c>
      <c r="E379">
        <v>4</v>
      </c>
      <c r="F379" t="s">
        <v>18</v>
      </c>
      <c r="G379" t="str">
        <f>CHOOSE(H379,"January","February","March","April","May","June","July","August","September","October","November","December")</f>
        <v>October</v>
      </c>
      <c r="H379">
        <f>MONTH(Table1[[#This Row],[Date]])</f>
        <v>10</v>
      </c>
      <c r="I379">
        <f>YEAR(Table1[[#This Row],[Date]])</f>
        <v>2023</v>
      </c>
    </row>
    <row r="380" spans="1:9" hidden="1" x14ac:dyDescent="0.35">
      <c r="A380" s="1">
        <v>44802</v>
      </c>
      <c r="B380" t="s">
        <v>8</v>
      </c>
      <c r="C380" t="s">
        <v>11</v>
      </c>
      <c r="D380">
        <v>470.5</v>
      </c>
      <c r="E380">
        <v>8</v>
      </c>
      <c r="F380" t="s">
        <v>15</v>
      </c>
      <c r="G380" t="str">
        <f>CHOOSE(H380,"January","February","March","April","May","June","July","August","September","October","November","December")</f>
        <v>August</v>
      </c>
      <c r="H380">
        <f>MONTH(Table1[[#This Row],[Date]])</f>
        <v>8</v>
      </c>
      <c r="I380">
        <f>YEAR(Table1[[#This Row],[Date]])</f>
        <v>2022</v>
      </c>
    </row>
    <row r="381" spans="1:9" x14ac:dyDescent="0.35">
      <c r="A381" s="1">
        <v>45204</v>
      </c>
      <c r="B381" t="s">
        <v>9</v>
      </c>
      <c r="C381" t="s">
        <v>13</v>
      </c>
      <c r="D381" s="9">
        <v>1536.02</v>
      </c>
      <c r="E381">
        <v>6</v>
      </c>
      <c r="F381" t="s">
        <v>18</v>
      </c>
      <c r="G381" t="str">
        <f>CHOOSE(H381,"January","February","March","April","May","June","July","August","September","October","November","December")</f>
        <v>October</v>
      </c>
      <c r="H381">
        <f>MONTH(Table1[[#This Row],[Date]])</f>
        <v>10</v>
      </c>
      <c r="I381">
        <f>YEAR(Table1[[#This Row],[Date]])</f>
        <v>2023</v>
      </c>
    </row>
    <row r="382" spans="1:9" hidden="1" x14ac:dyDescent="0.35">
      <c r="A382" s="1">
        <v>44830</v>
      </c>
      <c r="B382" t="s">
        <v>9</v>
      </c>
      <c r="C382" t="s">
        <v>14</v>
      </c>
      <c r="D382">
        <v>716.14</v>
      </c>
      <c r="E382">
        <v>8</v>
      </c>
      <c r="F382" t="s">
        <v>18</v>
      </c>
      <c r="G382" t="str">
        <f>CHOOSE(H382,"January","February","March","April","May","June","July","August","September","October","November","December")</f>
        <v>September</v>
      </c>
      <c r="H382">
        <f>MONTH(Table1[[#This Row],[Date]])</f>
        <v>9</v>
      </c>
      <c r="I382">
        <f>YEAR(Table1[[#This Row],[Date]])</f>
        <v>2022</v>
      </c>
    </row>
    <row r="383" spans="1:9" hidden="1" x14ac:dyDescent="0.35">
      <c r="A383" s="1">
        <v>44788</v>
      </c>
      <c r="B383" t="s">
        <v>10</v>
      </c>
      <c r="C383" t="s">
        <v>14</v>
      </c>
      <c r="D383">
        <v>1550.63</v>
      </c>
      <c r="E383">
        <v>8</v>
      </c>
      <c r="F383" t="s">
        <v>16</v>
      </c>
      <c r="G383" t="str">
        <f>CHOOSE(H383,"January","February","March","April","May","June","July","August","September","October","November","December")</f>
        <v>August</v>
      </c>
      <c r="H383">
        <f>MONTH(Table1[[#This Row],[Date]])</f>
        <v>8</v>
      </c>
      <c r="I383">
        <f>YEAR(Table1[[#This Row],[Date]])</f>
        <v>2022</v>
      </c>
    </row>
    <row r="384" spans="1:9" hidden="1" x14ac:dyDescent="0.35">
      <c r="A384" s="1">
        <v>44601</v>
      </c>
      <c r="B384" t="s">
        <v>8</v>
      </c>
      <c r="C384" t="s">
        <v>11</v>
      </c>
      <c r="D384">
        <v>865.42</v>
      </c>
      <c r="E384">
        <v>8</v>
      </c>
      <c r="F384" t="s">
        <v>16</v>
      </c>
      <c r="G384" t="str">
        <f>CHOOSE(H384,"January","February","March","April","May","June","July","August","September","October","November","December")</f>
        <v>February</v>
      </c>
      <c r="H384">
        <f>MONTH(Table1[[#This Row],[Date]])</f>
        <v>2</v>
      </c>
      <c r="I384">
        <f>YEAR(Table1[[#This Row],[Date]])</f>
        <v>2022</v>
      </c>
    </row>
    <row r="385" spans="1:9" hidden="1" x14ac:dyDescent="0.35">
      <c r="A385" s="1">
        <v>44819</v>
      </c>
      <c r="B385" t="s">
        <v>7</v>
      </c>
      <c r="C385" t="s">
        <v>13</v>
      </c>
      <c r="D385">
        <v>368.51</v>
      </c>
      <c r="E385">
        <v>8</v>
      </c>
      <c r="F385" t="s">
        <v>15</v>
      </c>
      <c r="G385" t="str">
        <f>CHOOSE(H385,"January","February","March","April","May","June","July","August","September","October","November","December")</f>
        <v>September</v>
      </c>
      <c r="H385">
        <f>MONTH(Table1[[#This Row],[Date]])</f>
        <v>9</v>
      </c>
      <c r="I385">
        <f>YEAR(Table1[[#This Row],[Date]])</f>
        <v>2022</v>
      </c>
    </row>
    <row r="386" spans="1:9" x14ac:dyDescent="0.35">
      <c r="A386" s="1">
        <v>45205</v>
      </c>
      <c r="B386" t="s">
        <v>7</v>
      </c>
      <c r="C386" t="s">
        <v>11</v>
      </c>
      <c r="D386" s="9">
        <v>1710.67</v>
      </c>
      <c r="E386">
        <v>9</v>
      </c>
      <c r="F386" t="s">
        <v>16</v>
      </c>
      <c r="G386" t="str">
        <f>CHOOSE(H386,"January","February","March","April","May","June","July","August","September","October","November","December")</f>
        <v>October</v>
      </c>
      <c r="H386">
        <f>MONTH(Table1[[#This Row],[Date]])</f>
        <v>10</v>
      </c>
      <c r="I386">
        <f>YEAR(Table1[[#This Row],[Date]])</f>
        <v>2023</v>
      </c>
    </row>
    <row r="387" spans="1:9" x14ac:dyDescent="0.35">
      <c r="A387" s="1">
        <v>45205</v>
      </c>
      <c r="B387" t="s">
        <v>9</v>
      </c>
      <c r="C387" t="s">
        <v>13</v>
      </c>
      <c r="D387" s="9">
        <v>1090.03</v>
      </c>
      <c r="E387">
        <v>7</v>
      </c>
      <c r="F387" t="s">
        <v>15</v>
      </c>
      <c r="G387" t="str">
        <f>CHOOSE(H387,"January","February","March","April","May","June","July","August","September","October","November","December")</f>
        <v>October</v>
      </c>
      <c r="H387">
        <f>MONTH(Table1[[#This Row],[Date]])</f>
        <v>10</v>
      </c>
      <c r="I387">
        <f>YEAR(Table1[[#This Row],[Date]])</f>
        <v>2023</v>
      </c>
    </row>
    <row r="388" spans="1:9" hidden="1" x14ac:dyDescent="0.35">
      <c r="A388" s="1">
        <v>44908</v>
      </c>
      <c r="B388" t="s">
        <v>9</v>
      </c>
      <c r="C388" t="s">
        <v>13</v>
      </c>
      <c r="D388">
        <v>1697.37</v>
      </c>
      <c r="E388">
        <v>8</v>
      </c>
      <c r="F388" t="s">
        <v>16</v>
      </c>
      <c r="G388" t="str">
        <f>CHOOSE(H388,"January","February","March","April","May","June","July","August","September","October","November","December")</f>
        <v>December</v>
      </c>
      <c r="H388">
        <f>MONTH(Table1[[#This Row],[Date]])</f>
        <v>12</v>
      </c>
      <c r="I388">
        <f>YEAR(Table1[[#This Row],[Date]])</f>
        <v>2022</v>
      </c>
    </row>
    <row r="389" spans="1:9" x14ac:dyDescent="0.35">
      <c r="A389" s="1">
        <v>45205</v>
      </c>
      <c r="B389" t="s">
        <v>8</v>
      </c>
      <c r="C389" t="s">
        <v>11</v>
      </c>
      <c r="D389" s="9">
        <v>1029.3900000000001</v>
      </c>
      <c r="E389">
        <v>7</v>
      </c>
      <c r="F389" t="s">
        <v>15</v>
      </c>
      <c r="G389" t="str">
        <f>CHOOSE(H389,"January","February","March","April","May","June","July","August","September","October","November","December")</f>
        <v>October</v>
      </c>
      <c r="H389">
        <f>MONTH(Table1[[#This Row],[Date]])</f>
        <v>10</v>
      </c>
      <c r="I389">
        <f>YEAR(Table1[[#This Row],[Date]])</f>
        <v>2023</v>
      </c>
    </row>
    <row r="390" spans="1:9" hidden="1" x14ac:dyDescent="0.35">
      <c r="A390" s="1">
        <v>44620</v>
      </c>
      <c r="B390" t="s">
        <v>10</v>
      </c>
      <c r="C390" t="s">
        <v>11</v>
      </c>
      <c r="D390">
        <v>110.4</v>
      </c>
      <c r="E390">
        <v>8</v>
      </c>
      <c r="F390" t="s">
        <v>18</v>
      </c>
      <c r="G390" t="str">
        <f>CHOOSE(H390,"January","February","March","April","May","June","July","August","September","October","November","December")</f>
        <v>February</v>
      </c>
      <c r="H390">
        <f>MONTH(Table1[[#This Row],[Date]])</f>
        <v>2</v>
      </c>
      <c r="I390">
        <f>YEAR(Table1[[#This Row],[Date]])</f>
        <v>2022</v>
      </c>
    </row>
    <row r="391" spans="1:9" hidden="1" x14ac:dyDescent="0.35">
      <c r="A391" s="1">
        <v>44614</v>
      </c>
      <c r="B391" t="s">
        <v>7</v>
      </c>
      <c r="C391" t="s">
        <v>14</v>
      </c>
      <c r="D391">
        <v>728.23</v>
      </c>
      <c r="E391">
        <v>8</v>
      </c>
      <c r="F391" t="s">
        <v>15</v>
      </c>
      <c r="G391" t="str">
        <f>CHOOSE(H391,"January","February","March","April","May","June","July","August","September","October","November","December")</f>
        <v>February</v>
      </c>
      <c r="H391">
        <f>MONTH(Table1[[#This Row],[Date]])</f>
        <v>2</v>
      </c>
      <c r="I391">
        <f>YEAR(Table1[[#This Row],[Date]])</f>
        <v>2022</v>
      </c>
    </row>
    <row r="392" spans="1:9" x14ac:dyDescent="0.35">
      <c r="A392" s="1">
        <v>45206</v>
      </c>
      <c r="B392" t="s">
        <v>9</v>
      </c>
      <c r="C392" t="s">
        <v>14</v>
      </c>
      <c r="D392" s="9">
        <v>1143.4100000000001</v>
      </c>
      <c r="E392">
        <v>4</v>
      </c>
      <c r="F392" t="s">
        <v>19</v>
      </c>
      <c r="G392" t="str">
        <f>CHOOSE(H392,"January","February","March","April","May","June","July","August","September","October","November","December")</f>
        <v>October</v>
      </c>
      <c r="H392">
        <f>MONTH(Table1[[#This Row],[Date]])</f>
        <v>10</v>
      </c>
      <c r="I392">
        <f>YEAR(Table1[[#This Row],[Date]])</f>
        <v>2023</v>
      </c>
    </row>
    <row r="393" spans="1:9" hidden="1" x14ac:dyDescent="0.35">
      <c r="A393" s="1">
        <v>44788</v>
      </c>
      <c r="B393" t="s">
        <v>7</v>
      </c>
      <c r="C393" t="s">
        <v>14</v>
      </c>
      <c r="D393">
        <v>826.49</v>
      </c>
      <c r="E393">
        <v>8</v>
      </c>
      <c r="F393" t="s">
        <v>15</v>
      </c>
      <c r="G393" t="str">
        <f>CHOOSE(H393,"January","February","March","April","May","June","July","August","September","October","November","December")</f>
        <v>August</v>
      </c>
      <c r="H393">
        <f>MONTH(Table1[[#This Row],[Date]])</f>
        <v>8</v>
      </c>
      <c r="I393">
        <f>YEAR(Table1[[#This Row],[Date]])</f>
        <v>2022</v>
      </c>
    </row>
    <row r="394" spans="1:9" hidden="1" x14ac:dyDescent="0.35">
      <c r="A394" s="1">
        <v>44607</v>
      </c>
      <c r="B394" t="s">
        <v>9</v>
      </c>
      <c r="C394" t="s">
        <v>12</v>
      </c>
      <c r="D394">
        <v>1860.26</v>
      </c>
      <c r="E394">
        <v>8</v>
      </c>
      <c r="F394" t="s">
        <v>19</v>
      </c>
      <c r="G394" t="str">
        <f>CHOOSE(H394,"January","February","March","April","May","June","July","August","September","October","November","December")</f>
        <v>February</v>
      </c>
      <c r="H394">
        <f>MONTH(Table1[[#This Row],[Date]])</f>
        <v>2</v>
      </c>
      <c r="I394">
        <f>YEAR(Table1[[#This Row],[Date]])</f>
        <v>2022</v>
      </c>
    </row>
    <row r="395" spans="1:9" hidden="1" x14ac:dyDescent="0.35">
      <c r="A395" s="1">
        <v>44590</v>
      </c>
      <c r="B395" t="s">
        <v>9</v>
      </c>
      <c r="C395" t="s">
        <v>12</v>
      </c>
      <c r="D395">
        <v>967.33</v>
      </c>
      <c r="E395">
        <v>8</v>
      </c>
      <c r="F395" t="s">
        <v>16</v>
      </c>
      <c r="G395" t="str">
        <f>CHOOSE(H395,"January","February","March","April","May","June","July","August","September","October","November","December")</f>
        <v>January</v>
      </c>
      <c r="H395">
        <f>MONTH(Table1[[#This Row],[Date]])</f>
        <v>1</v>
      </c>
      <c r="I395">
        <f>YEAR(Table1[[#This Row],[Date]])</f>
        <v>2022</v>
      </c>
    </row>
    <row r="396" spans="1:9" x14ac:dyDescent="0.35">
      <c r="A396" s="1">
        <v>45210</v>
      </c>
      <c r="B396" t="s">
        <v>6</v>
      </c>
      <c r="C396" t="s">
        <v>14</v>
      </c>
      <c r="D396" s="9">
        <v>458.55</v>
      </c>
      <c r="E396">
        <v>8</v>
      </c>
      <c r="F396" t="s">
        <v>15</v>
      </c>
      <c r="G396" t="str">
        <f>CHOOSE(H396,"January","February","March","April","May","June","July","August","September","October","November","December")</f>
        <v>October</v>
      </c>
      <c r="H396">
        <f>MONTH(Table1[[#This Row],[Date]])</f>
        <v>10</v>
      </c>
      <c r="I396">
        <f>YEAR(Table1[[#This Row],[Date]])</f>
        <v>2023</v>
      </c>
    </row>
    <row r="397" spans="1:9" hidden="1" x14ac:dyDescent="0.35">
      <c r="A397" s="1">
        <v>44711</v>
      </c>
      <c r="B397" t="s">
        <v>9</v>
      </c>
      <c r="C397" t="s">
        <v>13</v>
      </c>
      <c r="D397">
        <v>1404.76</v>
      </c>
      <c r="E397">
        <v>8</v>
      </c>
      <c r="F397" t="s">
        <v>15</v>
      </c>
      <c r="G397" t="str">
        <f>CHOOSE(H397,"January","February","March","April","May","June","July","August","September","October","November","December")</f>
        <v>May</v>
      </c>
      <c r="H397">
        <f>MONTH(Table1[[#This Row],[Date]])</f>
        <v>5</v>
      </c>
      <c r="I397">
        <f>YEAR(Table1[[#This Row],[Date]])</f>
        <v>2022</v>
      </c>
    </row>
    <row r="398" spans="1:9" x14ac:dyDescent="0.35">
      <c r="A398" s="1">
        <v>45212</v>
      </c>
      <c r="B398" t="s">
        <v>10</v>
      </c>
      <c r="C398" t="s">
        <v>13</v>
      </c>
      <c r="D398" s="9">
        <v>1028.7</v>
      </c>
      <c r="E398">
        <v>4</v>
      </c>
      <c r="F398" t="s">
        <v>18</v>
      </c>
      <c r="G398" t="str">
        <f>CHOOSE(H398,"January","February","March","April","May","June","July","August","September","October","November","December")</f>
        <v>October</v>
      </c>
      <c r="H398">
        <f>MONTH(Table1[[#This Row],[Date]])</f>
        <v>10</v>
      </c>
      <c r="I398">
        <f>YEAR(Table1[[#This Row],[Date]])</f>
        <v>2023</v>
      </c>
    </row>
    <row r="399" spans="1:9" hidden="1" x14ac:dyDescent="0.35">
      <c r="A399" s="1">
        <v>44780</v>
      </c>
      <c r="B399" t="s">
        <v>7</v>
      </c>
      <c r="C399" t="s">
        <v>14</v>
      </c>
      <c r="D399">
        <v>1690.15</v>
      </c>
      <c r="E399">
        <v>8</v>
      </c>
      <c r="F399" t="s">
        <v>16</v>
      </c>
      <c r="G399" t="str">
        <f>CHOOSE(H399,"January","February","March","April","May","June","July","August","September","October","November","December")</f>
        <v>August</v>
      </c>
      <c r="H399">
        <f>MONTH(Table1[[#This Row],[Date]])</f>
        <v>8</v>
      </c>
      <c r="I399">
        <f>YEAR(Table1[[#This Row],[Date]])</f>
        <v>2022</v>
      </c>
    </row>
    <row r="400" spans="1:9" x14ac:dyDescent="0.35">
      <c r="A400" s="1">
        <v>45212</v>
      </c>
      <c r="B400" t="s">
        <v>8</v>
      </c>
      <c r="C400" t="s">
        <v>13</v>
      </c>
      <c r="D400" s="9">
        <v>521.61</v>
      </c>
      <c r="E400">
        <v>6</v>
      </c>
      <c r="F400" t="s">
        <v>19</v>
      </c>
      <c r="G400" t="str">
        <f>CHOOSE(H400,"January","February","March","April","May","June","July","August","September","October","November","December")</f>
        <v>October</v>
      </c>
      <c r="H400">
        <f>MONTH(Table1[[#This Row],[Date]])</f>
        <v>10</v>
      </c>
      <c r="I400">
        <f>YEAR(Table1[[#This Row],[Date]])</f>
        <v>2023</v>
      </c>
    </row>
    <row r="401" spans="1:9" x14ac:dyDescent="0.35">
      <c r="A401" s="1">
        <v>45213</v>
      </c>
      <c r="B401" t="s">
        <v>7</v>
      </c>
      <c r="C401" t="s">
        <v>14</v>
      </c>
      <c r="D401" s="9">
        <v>1690.21</v>
      </c>
      <c r="E401">
        <v>6</v>
      </c>
      <c r="F401" t="s">
        <v>18</v>
      </c>
      <c r="G401" t="str">
        <f>CHOOSE(H401,"January","February","March","April","May","June","July","August","September","October","November","December")</f>
        <v>October</v>
      </c>
      <c r="H401">
        <f>MONTH(Table1[[#This Row],[Date]])</f>
        <v>10</v>
      </c>
      <c r="I401">
        <f>YEAR(Table1[[#This Row],[Date]])</f>
        <v>2023</v>
      </c>
    </row>
    <row r="402" spans="1:9" hidden="1" x14ac:dyDescent="0.35">
      <c r="A402" s="1">
        <v>44920</v>
      </c>
      <c r="B402" t="s">
        <v>8</v>
      </c>
      <c r="C402" t="s">
        <v>11</v>
      </c>
      <c r="D402">
        <v>408.56</v>
      </c>
      <c r="E402">
        <v>8</v>
      </c>
      <c r="F402" t="s">
        <v>19</v>
      </c>
      <c r="G402" t="str">
        <f>CHOOSE(H402,"January","February","March","April","May","June","July","August","September","October","November","December")</f>
        <v>December</v>
      </c>
      <c r="H402">
        <f>MONTH(Table1[[#This Row],[Date]])</f>
        <v>12</v>
      </c>
      <c r="I402">
        <f>YEAR(Table1[[#This Row],[Date]])</f>
        <v>2022</v>
      </c>
    </row>
    <row r="403" spans="1:9" x14ac:dyDescent="0.35">
      <c r="A403" s="1">
        <v>45215</v>
      </c>
      <c r="B403" t="s">
        <v>9</v>
      </c>
      <c r="C403" t="s">
        <v>13</v>
      </c>
      <c r="D403" s="9">
        <v>913.62</v>
      </c>
      <c r="E403">
        <v>5</v>
      </c>
      <c r="F403" t="s">
        <v>16</v>
      </c>
      <c r="G403" t="str">
        <f>CHOOSE(H403,"January","February","March","April","May","June","July","August","September","October","November","December")</f>
        <v>October</v>
      </c>
      <c r="H403">
        <f>MONTH(Table1[[#This Row],[Date]])</f>
        <v>10</v>
      </c>
      <c r="I403">
        <f>YEAR(Table1[[#This Row],[Date]])</f>
        <v>2023</v>
      </c>
    </row>
    <row r="404" spans="1:9" x14ac:dyDescent="0.35">
      <c r="A404" s="1">
        <v>45215</v>
      </c>
      <c r="B404" t="s">
        <v>7</v>
      </c>
      <c r="C404" t="s">
        <v>14</v>
      </c>
      <c r="D404" s="9">
        <v>795.73</v>
      </c>
      <c r="E404">
        <v>6</v>
      </c>
      <c r="F404" t="s">
        <v>17</v>
      </c>
      <c r="G404" t="str">
        <f>CHOOSE(H404,"January","February","March","April","May","June","July","August","September","October","November","December")</f>
        <v>October</v>
      </c>
      <c r="H404">
        <f>MONTH(Table1[[#This Row],[Date]])</f>
        <v>10</v>
      </c>
      <c r="I404">
        <f>YEAR(Table1[[#This Row],[Date]])</f>
        <v>2023</v>
      </c>
    </row>
    <row r="405" spans="1:9" x14ac:dyDescent="0.35">
      <c r="A405" s="1">
        <v>45218</v>
      </c>
      <c r="B405" t="s">
        <v>6</v>
      </c>
      <c r="C405" t="s">
        <v>12</v>
      </c>
      <c r="D405" s="9">
        <v>1927.97</v>
      </c>
      <c r="E405">
        <v>4</v>
      </c>
      <c r="F405" t="s">
        <v>15</v>
      </c>
      <c r="G405" t="str">
        <f>CHOOSE(H405,"January","February","March","April","May","June","July","August","September","October","November","December")</f>
        <v>October</v>
      </c>
      <c r="H405">
        <f>MONTH(Table1[[#This Row],[Date]])</f>
        <v>10</v>
      </c>
      <c r="I405">
        <f>YEAR(Table1[[#This Row],[Date]])</f>
        <v>2023</v>
      </c>
    </row>
    <row r="406" spans="1:9" x14ac:dyDescent="0.35">
      <c r="A406" s="1">
        <v>45218</v>
      </c>
      <c r="B406" t="s">
        <v>10</v>
      </c>
      <c r="C406" t="s">
        <v>14</v>
      </c>
      <c r="D406" s="9">
        <v>626.16999999999996</v>
      </c>
      <c r="E406">
        <v>7</v>
      </c>
      <c r="F406" t="s">
        <v>19</v>
      </c>
      <c r="G406" t="str">
        <f>CHOOSE(H406,"January","February","March","April","May","June","July","August","September","October","November","December")</f>
        <v>October</v>
      </c>
      <c r="H406">
        <f>MONTH(Table1[[#This Row],[Date]])</f>
        <v>10</v>
      </c>
      <c r="I406">
        <f>YEAR(Table1[[#This Row],[Date]])</f>
        <v>2023</v>
      </c>
    </row>
    <row r="407" spans="1:9" x14ac:dyDescent="0.35">
      <c r="A407" s="1">
        <v>45219</v>
      </c>
      <c r="B407" t="s">
        <v>8</v>
      </c>
      <c r="C407" t="s">
        <v>13</v>
      </c>
      <c r="D407" s="9">
        <v>1523.21</v>
      </c>
      <c r="E407">
        <v>1</v>
      </c>
      <c r="F407" t="s">
        <v>19</v>
      </c>
      <c r="G407" t="str">
        <f>CHOOSE(H407,"January","February","March","April","May","June","July","August","September","October","November","December")</f>
        <v>October</v>
      </c>
      <c r="H407">
        <f>MONTH(Table1[[#This Row],[Date]])</f>
        <v>10</v>
      </c>
      <c r="I407">
        <f>YEAR(Table1[[#This Row],[Date]])</f>
        <v>2023</v>
      </c>
    </row>
    <row r="408" spans="1:9" hidden="1" x14ac:dyDescent="0.35">
      <c r="A408" s="1">
        <v>44634</v>
      </c>
      <c r="B408" t="s">
        <v>9</v>
      </c>
      <c r="C408" t="s">
        <v>12</v>
      </c>
      <c r="D408">
        <v>1755.13</v>
      </c>
      <c r="E408">
        <v>8</v>
      </c>
      <c r="F408" t="s">
        <v>18</v>
      </c>
      <c r="G408" t="str">
        <f>CHOOSE(H408,"January","February","March","April","May","June","July","August","September","October","November","December")</f>
        <v>March</v>
      </c>
      <c r="H408">
        <f>MONTH(Table1[[#This Row],[Date]])</f>
        <v>3</v>
      </c>
      <c r="I408">
        <f>YEAR(Table1[[#This Row],[Date]])</f>
        <v>2022</v>
      </c>
    </row>
    <row r="409" spans="1:9" hidden="1" x14ac:dyDescent="0.35">
      <c r="A409" s="1">
        <v>44674</v>
      </c>
      <c r="B409" t="s">
        <v>8</v>
      </c>
      <c r="C409" t="s">
        <v>12</v>
      </c>
      <c r="D409">
        <v>345.37</v>
      </c>
      <c r="E409">
        <v>8</v>
      </c>
      <c r="F409" t="s">
        <v>19</v>
      </c>
      <c r="G409" t="str">
        <f>CHOOSE(H409,"January","February","March","April","May","June","July","August","September","October","November","December")</f>
        <v>April</v>
      </c>
      <c r="H409">
        <f>MONTH(Table1[[#This Row],[Date]])</f>
        <v>4</v>
      </c>
      <c r="I409">
        <f>YEAR(Table1[[#This Row],[Date]])</f>
        <v>2022</v>
      </c>
    </row>
    <row r="410" spans="1:9" hidden="1" x14ac:dyDescent="0.35">
      <c r="A410" s="1">
        <v>44676</v>
      </c>
      <c r="B410" t="s">
        <v>7</v>
      </c>
      <c r="C410" t="s">
        <v>11</v>
      </c>
      <c r="D410">
        <v>1718.12</v>
      </c>
      <c r="E410">
        <v>8</v>
      </c>
      <c r="F410" t="s">
        <v>18</v>
      </c>
      <c r="G410" t="str">
        <f>CHOOSE(H410,"January","February","March","April","May","June","July","August","September","October","November","December")</f>
        <v>April</v>
      </c>
      <c r="H410">
        <f>MONTH(Table1[[#This Row],[Date]])</f>
        <v>4</v>
      </c>
      <c r="I410">
        <f>YEAR(Table1[[#This Row],[Date]])</f>
        <v>2022</v>
      </c>
    </row>
    <row r="411" spans="1:9" x14ac:dyDescent="0.35">
      <c r="A411" s="1">
        <v>45220</v>
      </c>
      <c r="B411" t="s">
        <v>10</v>
      </c>
      <c r="C411" t="s">
        <v>13</v>
      </c>
      <c r="D411" s="9">
        <v>1194.99</v>
      </c>
      <c r="E411">
        <v>8</v>
      </c>
      <c r="F411" t="s">
        <v>18</v>
      </c>
      <c r="G411" t="str">
        <f>CHOOSE(H411,"January","February","March","April","May","June","July","August","September","October","November","December")</f>
        <v>October</v>
      </c>
      <c r="H411">
        <f>MONTH(Table1[[#This Row],[Date]])</f>
        <v>10</v>
      </c>
      <c r="I411">
        <f>YEAR(Table1[[#This Row],[Date]])</f>
        <v>2023</v>
      </c>
    </row>
    <row r="412" spans="1:9" hidden="1" x14ac:dyDescent="0.35">
      <c r="A412" s="1">
        <v>44694</v>
      </c>
      <c r="B412" t="s">
        <v>10</v>
      </c>
      <c r="C412" t="s">
        <v>11</v>
      </c>
      <c r="D412">
        <v>832.34</v>
      </c>
      <c r="E412">
        <v>8</v>
      </c>
      <c r="F412" t="s">
        <v>15</v>
      </c>
      <c r="G412" t="str">
        <f>CHOOSE(H412,"January","February","March","April","May","June","July","August","September","October","November","December")</f>
        <v>May</v>
      </c>
      <c r="H412">
        <f>MONTH(Table1[[#This Row],[Date]])</f>
        <v>5</v>
      </c>
      <c r="I412">
        <f>YEAR(Table1[[#This Row],[Date]])</f>
        <v>2022</v>
      </c>
    </row>
    <row r="413" spans="1:9" x14ac:dyDescent="0.35">
      <c r="A413" s="1">
        <v>45220</v>
      </c>
      <c r="B413" t="s">
        <v>10</v>
      </c>
      <c r="C413" t="s">
        <v>11</v>
      </c>
      <c r="D413" s="9">
        <v>984.72</v>
      </c>
      <c r="E413">
        <v>5</v>
      </c>
      <c r="F413" t="s">
        <v>16</v>
      </c>
      <c r="G413" t="str">
        <f>CHOOSE(H413,"January","February","March","April","May","June","July","August","September","October","November","December")</f>
        <v>October</v>
      </c>
      <c r="H413">
        <f>MONTH(Table1[[#This Row],[Date]])</f>
        <v>10</v>
      </c>
      <c r="I413">
        <f>YEAR(Table1[[#This Row],[Date]])</f>
        <v>2023</v>
      </c>
    </row>
    <row r="414" spans="1:9" hidden="1" x14ac:dyDescent="0.35">
      <c r="A414" s="1">
        <v>44596</v>
      </c>
      <c r="B414" t="s">
        <v>8</v>
      </c>
      <c r="C414" t="s">
        <v>11</v>
      </c>
      <c r="D414">
        <v>1653.98</v>
      </c>
      <c r="E414">
        <v>9</v>
      </c>
      <c r="F414" t="s">
        <v>16</v>
      </c>
      <c r="G414" t="str">
        <f>CHOOSE(H414,"January","February","March","April","May","June","July","August","September","October","November","December")</f>
        <v>February</v>
      </c>
      <c r="H414">
        <f>MONTH(Table1[[#This Row],[Date]])</f>
        <v>2</v>
      </c>
      <c r="I414">
        <f>YEAR(Table1[[#This Row],[Date]])</f>
        <v>2022</v>
      </c>
    </row>
    <row r="415" spans="1:9" x14ac:dyDescent="0.35">
      <c r="A415" s="1">
        <v>45221</v>
      </c>
      <c r="B415" t="s">
        <v>10</v>
      </c>
      <c r="C415" t="s">
        <v>13</v>
      </c>
      <c r="D415" s="9">
        <v>1916.68</v>
      </c>
      <c r="E415">
        <v>3</v>
      </c>
      <c r="F415" t="s">
        <v>15</v>
      </c>
      <c r="G415" t="str">
        <f>CHOOSE(H415,"January","February","March","April","May","June","July","August","September","October","November","December")</f>
        <v>October</v>
      </c>
      <c r="H415">
        <f>MONTH(Table1[[#This Row],[Date]])</f>
        <v>10</v>
      </c>
      <c r="I415">
        <f>YEAR(Table1[[#This Row],[Date]])</f>
        <v>2023</v>
      </c>
    </row>
    <row r="416" spans="1:9" hidden="1" x14ac:dyDescent="0.35">
      <c r="A416" s="1">
        <v>44605</v>
      </c>
      <c r="B416" t="s">
        <v>8</v>
      </c>
      <c r="C416" t="s">
        <v>13</v>
      </c>
      <c r="D416">
        <v>1645.6</v>
      </c>
      <c r="E416">
        <v>9</v>
      </c>
      <c r="F416" t="s">
        <v>16</v>
      </c>
      <c r="G416" t="str">
        <f>CHOOSE(H416,"January","February","March","April","May","June","July","August","September","October","November","December")</f>
        <v>February</v>
      </c>
      <c r="H416">
        <f>MONTH(Table1[[#This Row],[Date]])</f>
        <v>2</v>
      </c>
      <c r="I416">
        <f>YEAR(Table1[[#This Row],[Date]])</f>
        <v>2022</v>
      </c>
    </row>
    <row r="417" spans="1:9" hidden="1" x14ac:dyDescent="0.35">
      <c r="A417" s="1">
        <v>44696</v>
      </c>
      <c r="B417" t="s">
        <v>6</v>
      </c>
      <c r="C417" t="s">
        <v>13</v>
      </c>
      <c r="D417">
        <v>1956.33</v>
      </c>
      <c r="E417">
        <v>9</v>
      </c>
      <c r="F417" t="s">
        <v>18</v>
      </c>
      <c r="G417" t="str">
        <f>CHOOSE(H417,"January","February","March","April","May","June","July","August","September","October","November","December")</f>
        <v>May</v>
      </c>
      <c r="H417">
        <f>MONTH(Table1[[#This Row],[Date]])</f>
        <v>5</v>
      </c>
      <c r="I417">
        <f>YEAR(Table1[[#This Row],[Date]])</f>
        <v>2022</v>
      </c>
    </row>
    <row r="418" spans="1:9" hidden="1" x14ac:dyDescent="0.35">
      <c r="A418" s="1">
        <v>44821</v>
      </c>
      <c r="B418" t="s">
        <v>7</v>
      </c>
      <c r="C418" t="s">
        <v>14</v>
      </c>
      <c r="D418">
        <v>960.03</v>
      </c>
      <c r="E418">
        <v>9</v>
      </c>
      <c r="F418" t="s">
        <v>18</v>
      </c>
      <c r="G418" t="str">
        <f>CHOOSE(H418,"January","February","March","April","May","June","July","August","September","October","November","December")</f>
        <v>September</v>
      </c>
      <c r="H418">
        <f>MONTH(Table1[[#This Row],[Date]])</f>
        <v>9</v>
      </c>
      <c r="I418">
        <f>YEAR(Table1[[#This Row],[Date]])</f>
        <v>2022</v>
      </c>
    </row>
    <row r="419" spans="1:9" hidden="1" x14ac:dyDescent="0.35">
      <c r="A419" s="1">
        <v>44627</v>
      </c>
      <c r="B419" t="s">
        <v>10</v>
      </c>
      <c r="C419" t="s">
        <v>12</v>
      </c>
      <c r="D419">
        <v>971.42</v>
      </c>
      <c r="E419">
        <v>9</v>
      </c>
      <c r="F419" t="s">
        <v>15</v>
      </c>
      <c r="G419" t="str">
        <f>CHOOSE(H419,"January","February","March","April","May","June","July","August","September","October","November","December")</f>
        <v>March</v>
      </c>
      <c r="H419">
        <f>MONTH(Table1[[#This Row],[Date]])</f>
        <v>3</v>
      </c>
      <c r="I419">
        <f>YEAR(Table1[[#This Row],[Date]])</f>
        <v>2022</v>
      </c>
    </row>
    <row r="420" spans="1:9" x14ac:dyDescent="0.35">
      <c r="A420" s="1">
        <v>45221</v>
      </c>
      <c r="B420" t="s">
        <v>10</v>
      </c>
      <c r="C420" t="s">
        <v>13</v>
      </c>
      <c r="D420" s="9">
        <v>1814</v>
      </c>
      <c r="E420">
        <v>7</v>
      </c>
      <c r="F420" t="s">
        <v>18</v>
      </c>
      <c r="G420" t="str">
        <f>CHOOSE(H420,"January","February","March","April","May","June","July","August","September","October","November","December")</f>
        <v>October</v>
      </c>
      <c r="H420">
        <f>MONTH(Table1[[#This Row],[Date]])</f>
        <v>10</v>
      </c>
      <c r="I420">
        <f>YEAR(Table1[[#This Row],[Date]])</f>
        <v>2023</v>
      </c>
    </row>
    <row r="421" spans="1:9" hidden="1" x14ac:dyDescent="0.35">
      <c r="A421" s="1">
        <v>44758</v>
      </c>
      <c r="B421" t="s">
        <v>10</v>
      </c>
      <c r="C421" t="s">
        <v>13</v>
      </c>
      <c r="D421">
        <v>1650.38</v>
      </c>
      <c r="E421">
        <v>9</v>
      </c>
      <c r="F421" t="s">
        <v>18</v>
      </c>
      <c r="G421" t="str">
        <f>CHOOSE(H421,"January","February","March","April","May","June","July","August","September","October","November","December")</f>
        <v>July</v>
      </c>
      <c r="H421">
        <f>MONTH(Table1[[#This Row],[Date]])</f>
        <v>7</v>
      </c>
      <c r="I421">
        <f>YEAR(Table1[[#This Row],[Date]])</f>
        <v>2022</v>
      </c>
    </row>
    <row r="422" spans="1:9" hidden="1" x14ac:dyDescent="0.35">
      <c r="A422" s="1">
        <v>44660</v>
      </c>
      <c r="B422" t="s">
        <v>7</v>
      </c>
      <c r="C422" t="s">
        <v>13</v>
      </c>
      <c r="D422">
        <v>570.01</v>
      </c>
      <c r="E422">
        <v>9</v>
      </c>
      <c r="F422" t="s">
        <v>19</v>
      </c>
      <c r="G422" t="str">
        <f>CHOOSE(H422,"January","February","March","April","May","June","July","August","September","October","November","December")</f>
        <v>April</v>
      </c>
      <c r="H422">
        <f>MONTH(Table1[[#This Row],[Date]])</f>
        <v>4</v>
      </c>
      <c r="I422">
        <f>YEAR(Table1[[#This Row],[Date]])</f>
        <v>2022</v>
      </c>
    </row>
    <row r="423" spans="1:9" hidden="1" x14ac:dyDescent="0.35">
      <c r="A423" s="1">
        <v>44572</v>
      </c>
      <c r="B423" t="s">
        <v>8</v>
      </c>
      <c r="C423" t="s">
        <v>13</v>
      </c>
      <c r="D423">
        <v>1623.67</v>
      </c>
      <c r="E423">
        <v>9</v>
      </c>
      <c r="F423" t="s">
        <v>15</v>
      </c>
      <c r="G423" t="str">
        <f>CHOOSE(H423,"January","February","March","April","May","June","July","August","September","October","November","December")</f>
        <v>January</v>
      </c>
      <c r="H423">
        <f>MONTH(Table1[[#This Row],[Date]])</f>
        <v>1</v>
      </c>
      <c r="I423">
        <f>YEAR(Table1[[#This Row],[Date]])</f>
        <v>2022</v>
      </c>
    </row>
    <row r="424" spans="1:9" hidden="1" x14ac:dyDescent="0.35">
      <c r="A424" s="1">
        <v>44673</v>
      </c>
      <c r="B424" t="s">
        <v>8</v>
      </c>
      <c r="C424" t="s">
        <v>14</v>
      </c>
      <c r="D424">
        <v>815.1</v>
      </c>
      <c r="E424">
        <v>9</v>
      </c>
      <c r="F424" t="s">
        <v>17</v>
      </c>
      <c r="G424" t="str">
        <f>CHOOSE(H424,"January","February","March","April","May","June","July","August","September","October","November","December")</f>
        <v>April</v>
      </c>
      <c r="H424">
        <f>MONTH(Table1[[#This Row],[Date]])</f>
        <v>4</v>
      </c>
      <c r="I424">
        <f>YEAR(Table1[[#This Row],[Date]])</f>
        <v>2022</v>
      </c>
    </row>
    <row r="425" spans="1:9" x14ac:dyDescent="0.35">
      <c r="A425" s="1">
        <v>45223</v>
      </c>
      <c r="B425" t="s">
        <v>6</v>
      </c>
      <c r="C425" t="s">
        <v>14</v>
      </c>
      <c r="D425" s="9">
        <v>1751.48</v>
      </c>
      <c r="E425">
        <v>5</v>
      </c>
      <c r="F425" t="s">
        <v>19</v>
      </c>
      <c r="G425" t="str">
        <f>CHOOSE(H425,"January","February","March","April","May","June","July","August","September","October","November","December")</f>
        <v>October</v>
      </c>
      <c r="H425">
        <f>MONTH(Table1[[#This Row],[Date]])</f>
        <v>10</v>
      </c>
      <c r="I425">
        <f>YEAR(Table1[[#This Row],[Date]])</f>
        <v>2023</v>
      </c>
    </row>
    <row r="426" spans="1:9" hidden="1" x14ac:dyDescent="0.35">
      <c r="A426" s="1">
        <v>44746</v>
      </c>
      <c r="B426" t="s">
        <v>10</v>
      </c>
      <c r="C426" t="s">
        <v>12</v>
      </c>
      <c r="D426">
        <v>1023.38</v>
      </c>
      <c r="E426">
        <v>9</v>
      </c>
      <c r="F426" t="s">
        <v>17</v>
      </c>
      <c r="G426" t="str">
        <f>CHOOSE(H426,"January","February","March","April","May","June","July","August","September","October","November","December")</f>
        <v>July</v>
      </c>
      <c r="H426">
        <f>MONTH(Table1[[#This Row],[Date]])</f>
        <v>7</v>
      </c>
      <c r="I426">
        <f>YEAR(Table1[[#This Row],[Date]])</f>
        <v>2022</v>
      </c>
    </row>
    <row r="427" spans="1:9" x14ac:dyDescent="0.35">
      <c r="A427" s="1">
        <v>45225</v>
      </c>
      <c r="B427" t="s">
        <v>7</v>
      </c>
      <c r="C427" t="s">
        <v>12</v>
      </c>
      <c r="D427" s="9">
        <v>1848.54</v>
      </c>
      <c r="E427">
        <v>9</v>
      </c>
      <c r="F427" t="s">
        <v>19</v>
      </c>
      <c r="G427" t="str">
        <f>CHOOSE(H427,"January","February","March","April","May","June","July","August","September","October","November","December")</f>
        <v>October</v>
      </c>
      <c r="H427">
        <f>MONTH(Table1[[#This Row],[Date]])</f>
        <v>10</v>
      </c>
      <c r="I427">
        <f>YEAR(Table1[[#This Row],[Date]])</f>
        <v>2023</v>
      </c>
    </row>
    <row r="428" spans="1:9" hidden="1" x14ac:dyDescent="0.35">
      <c r="A428" s="1">
        <v>44786</v>
      </c>
      <c r="B428" t="s">
        <v>10</v>
      </c>
      <c r="C428" t="s">
        <v>13</v>
      </c>
      <c r="D428">
        <v>1497.47</v>
      </c>
      <c r="E428">
        <v>9</v>
      </c>
      <c r="F428" t="s">
        <v>17</v>
      </c>
      <c r="G428" t="str">
        <f>CHOOSE(H428,"January","February","March","April","May","June","July","August","September","October","November","December")</f>
        <v>August</v>
      </c>
      <c r="H428">
        <f>MONTH(Table1[[#This Row],[Date]])</f>
        <v>8</v>
      </c>
      <c r="I428">
        <f>YEAR(Table1[[#This Row],[Date]])</f>
        <v>2022</v>
      </c>
    </row>
    <row r="429" spans="1:9" x14ac:dyDescent="0.35">
      <c r="A429" s="1">
        <v>45228</v>
      </c>
      <c r="B429" t="s">
        <v>10</v>
      </c>
      <c r="C429" t="s">
        <v>13</v>
      </c>
      <c r="D429" s="9">
        <v>124.63</v>
      </c>
      <c r="E429">
        <v>1</v>
      </c>
      <c r="F429" t="s">
        <v>17</v>
      </c>
      <c r="G429" t="str">
        <f>CHOOSE(H429,"January","February","March","April","May","June","July","August","September","October","November","December")</f>
        <v>October</v>
      </c>
      <c r="H429">
        <f>MONTH(Table1[[#This Row],[Date]])</f>
        <v>10</v>
      </c>
      <c r="I429">
        <f>YEAR(Table1[[#This Row],[Date]])</f>
        <v>2023</v>
      </c>
    </row>
    <row r="430" spans="1:9" hidden="1" x14ac:dyDescent="0.35">
      <c r="A430" s="1">
        <v>44634</v>
      </c>
      <c r="B430" t="s">
        <v>9</v>
      </c>
      <c r="C430" t="s">
        <v>13</v>
      </c>
      <c r="D430">
        <v>1021.16</v>
      </c>
      <c r="E430">
        <v>9</v>
      </c>
      <c r="F430" t="s">
        <v>17</v>
      </c>
      <c r="G430" t="str">
        <f>CHOOSE(H430,"January","February","March","April","May","June","July","August","September","October","November","December")</f>
        <v>March</v>
      </c>
      <c r="H430">
        <f>MONTH(Table1[[#This Row],[Date]])</f>
        <v>3</v>
      </c>
      <c r="I430">
        <f>YEAR(Table1[[#This Row],[Date]])</f>
        <v>2022</v>
      </c>
    </row>
    <row r="431" spans="1:9" hidden="1" x14ac:dyDescent="0.35">
      <c r="A431" s="1">
        <v>44737</v>
      </c>
      <c r="B431" t="s">
        <v>7</v>
      </c>
      <c r="C431" t="s">
        <v>12</v>
      </c>
      <c r="D431">
        <v>1816.57</v>
      </c>
      <c r="E431">
        <v>9</v>
      </c>
      <c r="F431" t="s">
        <v>17</v>
      </c>
      <c r="G431" t="str">
        <f>CHOOSE(H431,"January","February","March","April","May","June","July","August","September","October","November","December")</f>
        <v>June</v>
      </c>
      <c r="H431">
        <f>MONTH(Table1[[#This Row],[Date]])</f>
        <v>6</v>
      </c>
      <c r="I431">
        <f>YEAR(Table1[[#This Row],[Date]])</f>
        <v>2022</v>
      </c>
    </row>
    <row r="432" spans="1:9" hidden="1" x14ac:dyDescent="0.35">
      <c r="A432" s="1">
        <v>44603</v>
      </c>
      <c r="B432" t="s">
        <v>9</v>
      </c>
      <c r="C432" t="s">
        <v>12</v>
      </c>
      <c r="D432">
        <v>1150.71</v>
      </c>
      <c r="E432">
        <v>9</v>
      </c>
      <c r="F432" t="s">
        <v>17</v>
      </c>
      <c r="G432" t="str">
        <f>CHOOSE(H432,"January","February","March","April","May","June","July","August","September","October","November","December")</f>
        <v>February</v>
      </c>
      <c r="H432">
        <f>MONTH(Table1[[#This Row],[Date]])</f>
        <v>2</v>
      </c>
      <c r="I432">
        <f>YEAR(Table1[[#This Row],[Date]])</f>
        <v>2022</v>
      </c>
    </row>
    <row r="433" spans="1:9" hidden="1" x14ac:dyDescent="0.35">
      <c r="A433" s="1">
        <v>44651</v>
      </c>
      <c r="B433" t="s">
        <v>10</v>
      </c>
      <c r="C433" t="s">
        <v>14</v>
      </c>
      <c r="D433">
        <v>1802.77</v>
      </c>
      <c r="E433">
        <v>9</v>
      </c>
      <c r="F433" t="s">
        <v>17</v>
      </c>
      <c r="G433" t="str">
        <f>CHOOSE(H433,"January","February","March","April","May","June","July","August","September","October","November","December")</f>
        <v>March</v>
      </c>
      <c r="H433">
        <f>MONTH(Table1[[#This Row],[Date]])</f>
        <v>3</v>
      </c>
      <c r="I433">
        <f>YEAR(Table1[[#This Row],[Date]])</f>
        <v>2022</v>
      </c>
    </row>
    <row r="434" spans="1:9" hidden="1" x14ac:dyDescent="0.35">
      <c r="A434" s="1">
        <v>44710</v>
      </c>
      <c r="B434" t="s">
        <v>9</v>
      </c>
      <c r="C434" t="s">
        <v>13</v>
      </c>
      <c r="D434">
        <v>1639.35</v>
      </c>
      <c r="E434">
        <v>9</v>
      </c>
      <c r="F434" t="s">
        <v>18</v>
      </c>
      <c r="G434" t="str">
        <f>CHOOSE(H434,"January","February","March","April","May","June","July","August","September","October","November","December")</f>
        <v>May</v>
      </c>
      <c r="H434">
        <f>MONTH(Table1[[#This Row],[Date]])</f>
        <v>5</v>
      </c>
      <c r="I434">
        <f>YEAR(Table1[[#This Row],[Date]])</f>
        <v>2022</v>
      </c>
    </row>
    <row r="435" spans="1:9" x14ac:dyDescent="0.35">
      <c r="A435" s="1">
        <v>45231</v>
      </c>
      <c r="B435" t="s">
        <v>9</v>
      </c>
      <c r="C435" t="s">
        <v>13</v>
      </c>
      <c r="D435" s="9">
        <v>1429.7</v>
      </c>
      <c r="E435">
        <v>6</v>
      </c>
      <c r="F435" t="s">
        <v>16</v>
      </c>
      <c r="G435" t="str">
        <f>CHOOSE(H435,"January","February","March","April","May","June","July","August","September","October","November","December")</f>
        <v>November</v>
      </c>
      <c r="H435">
        <f>MONTH(Table1[[#This Row],[Date]])</f>
        <v>11</v>
      </c>
      <c r="I435">
        <f>YEAR(Table1[[#This Row],[Date]])</f>
        <v>2023</v>
      </c>
    </row>
    <row r="436" spans="1:9" x14ac:dyDescent="0.35">
      <c r="A436" s="1">
        <v>45233</v>
      </c>
      <c r="B436" t="s">
        <v>7</v>
      </c>
      <c r="C436" t="s">
        <v>14</v>
      </c>
      <c r="D436" s="9">
        <v>1222.46</v>
      </c>
      <c r="E436">
        <v>5</v>
      </c>
      <c r="F436" t="s">
        <v>17</v>
      </c>
      <c r="G436" t="str">
        <f>CHOOSE(H436,"January","February","March","April","May","June","July","August","September","October","November","December")</f>
        <v>November</v>
      </c>
      <c r="H436">
        <f>MONTH(Table1[[#This Row],[Date]])</f>
        <v>11</v>
      </c>
      <c r="I436">
        <f>YEAR(Table1[[#This Row],[Date]])</f>
        <v>2023</v>
      </c>
    </row>
    <row r="437" spans="1:9" hidden="1" x14ac:dyDescent="0.35">
      <c r="A437" s="1">
        <v>44894</v>
      </c>
      <c r="B437" t="s">
        <v>7</v>
      </c>
      <c r="C437" t="s">
        <v>11</v>
      </c>
      <c r="D437">
        <v>1906.38</v>
      </c>
      <c r="E437">
        <v>9</v>
      </c>
      <c r="F437" t="s">
        <v>15</v>
      </c>
      <c r="G437" t="str">
        <f>CHOOSE(H437,"January","February","March","April","May","June","July","August","September","October","November","December")</f>
        <v>November</v>
      </c>
      <c r="H437">
        <f>MONTH(Table1[[#This Row],[Date]])</f>
        <v>11</v>
      </c>
      <c r="I437">
        <f>YEAR(Table1[[#This Row],[Date]])</f>
        <v>2022</v>
      </c>
    </row>
    <row r="438" spans="1:9" x14ac:dyDescent="0.35">
      <c r="A438" s="1">
        <v>45233</v>
      </c>
      <c r="B438" t="s">
        <v>9</v>
      </c>
      <c r="C438" t="s">
        <v>11</v>
      </c>
      <c r="D438" s="9">
        <v>1062.68</v>
      </c>
      <c r="E438">
        <v>5</v>
      </c>
      <c r="F438" t="s">
        <v>17</v>
      </c>
      <c r="G438" t="str">
        <f>CHOOSE(H438,"January","February","March","April","May","June","July","August","September","October","November","December")</f>
        <v>November</v>
      </c>
      <c r="H438">
        <f>MONTH(Table1[[#This Row],[Date]])</f>
        <v>11</v>
      </c>
      <c r="I438">
        <f>YEAR(Table1[[#This Row],[Date]])</f>
        <v>2023</v>
      </c>
    </row>
    <row r="439" spans="1:9" hidden="1" x14ac:dyDescent="0.35">
      <c r="A439" s="1">
        <v>44776</v>
      </c>
      <c r="B439" t="s">
        <v>10</v>
      </c>
      <c r="C439" t="s">
        <v>12</v>
      </c>
      <c r="D439">
        <v>268.89999999999998</v>
      </c>
      <c r="E439">
        <v>9</v>
      </c>
      <c r="F439" t="s">
        <v>16</v>
      </c>
      <c r="G439" t="str">
        <f>CHOOSE(H439,"January","February","March","April","May","June","July","August","September","October","November","December")</f>
        <v>August</v>
      </c>
      <c r="H439">
        <f>MONTH(Table1[[#This Row],[Date]])</f>
        <v>8</v>
      </c>
      <c r="I439">
        <f>YEAR(Table1[[#This Row],[Date]])</f>
        <v>2022</v>
      </c>
    </row>
    <row r="440" spans="1:9" hidden="1" x14ac:dyDescent="0.35">
      <c r="A440" s="1">
        <v>44758</v>
      </c>
      <c r="B440" t="s">
        <v>8</v>
      </c>
      <c r="C440" t="s">
        <v>11</v>
      </c>
      <c r="D440">
        <v>1253.2</v>
      </c>
      <c r="E440">
        <v>9</v>
      </c>
      <c r="F440" t="s">
        <v>18</v>
      </c>
      <c r="G440" t="str">
        <f>CHOOSE(H440,"January","February","March","April","May","June","July","August","September","October","November","December")</f>
        <v>July</v>
      </c>
      <c r="H440">
        <f>MONTH(Table1[[#This Row],[Date]])</f>
        <v>7</v>
      </c>
      <c r="I440">
        <f>YEAR(Table1[[#This Row],[Date]])</f>
        <v>2022</v>
      </c>
    </row>
    <row r="441" spans="1:9" hidden="1" x14ac:dyDescent="0.35">
      <c r="A441" s="1">
        <v>44582</v>
      </c>
      <c r="B441" t="s">
        <v>6</v>
      </c>
      <c r="C441" t="s">
        <v>11</v>
      </c>
      <c r="D441">
        <v>218.71</v>
      </c>
      <c r="E441">
        <v>9</v>
      </c>
      <c r="F441" t="s">
        <v>19</v>
      </c>
      <c r="G441" t="str">
        <f>CHOOSE(H441,"January","February","March","April","May","June","July","August","September","October","November","December")</f>
        <v>January</v>
      </c>
      <c r="H441">
        <f>MONTH(Table1[[#This Row],[Date]])</f>
        <v>1</v>
      </c>
      <c r="I441">
        <f>YEAR(Table1[[#This Row],[Date]])</f>
        <v>2022</v>
      </c>
    </row>
    <row r="442" spans="1:9" x14ac:dyDescent="0.35">
      <c r="A442" s="1">
        <v>45234</v>
      </c>
      <c r="B442" t="s">
        <v>10</v>
      </c>
      <c r="C442" t="s">
        <v>13</v>
      </c>
      <c r="D442" s="9">
        <v>1903.22</v>
      </c>
      <c r="E442">
        <v>1</v>
      </c>
      <c r="F442" t="s">
        <v>15</v>
      </c>
      <c r="G442" t="str">
        <f>CHOOSE(H442,"January","February","March","April","May","June","July","August","September","October","November","December")</f>
        <v>November</v>
      </c>
      <c r="H442">
        <f>MONTH(Table1[[#This Row],[Date]])</f>
        <v>11</v>
      </c>
      <c r="I442">
        <f>YEAR(Table1[[#This Row],[Date]])</f>
        <v>2023</v>
      </c>
    </row>
    <row r="443" spans="1:9" hidden="1" x14ac:dyDescent="0.35">
      <c r="A443" s="1">
        <v>44807</v>
      </c>
      <c r="B443" t="s">
        <v>7</v>
      </c>
      <c r="C443" t="s">
        <v>12</v>
      </c>
      <c r="D443">
        <v>208.15</v>
      </c>
      <c r="E443">
        <v>9</v>
      </c>
      <c r="F443" t="s">
        <v>15</v>
      </c>
      <c r="G443" t="str">
        <f>CHOOSE(H443,"January","February","March","April","May","June","July","August","September","October","November","December")</f>
        <v>September</v>
      </c>
      <c r="H443">
        <f>MONTH(Table1[[#This Row],[Date]])</f>
        <v>9</v>
      </c>
      <c r="I443">
        <f>YEAR(Table1[[#This Row],[Date]])</f>
        <v>2022</v>
      </c>
    </row>
    <row r="444" spans="1:9" hidden="1" x14ac:dyDescent="0.35">
      <c r="A444" s="1">
        <v>44654</v>
      </c>
      <c r="B444" t="s">
        <v>9</v>
      </c>
      <c r="C444" t="s">
        <v>11</v>
      </c>
      <c r="D444">
        <v>1419.25</v>
      </c>
      <c r="E444">
        <v>9</v>
      </c>
      <c r="F444" t="s">
        <v>18</v>
      </c>
      <c r="G444" t="str">
        <f>CHOOSE(H444,"January","February","March","April","May","June","July","August","September","October","November","December")</f>
        <v>April</v>
      </c>
      <c r="H444">
        <f>MONTH(Table1[[#This Row],[Date]])</f>
        <v>4</v>
      </c>
      <c r="I444">
        <f>YEAR(Table1[[#This Row],[Date]])</f>
        <v>2022</v>
      </c>
    </row>
    <row r="445" spans="1:9" hidden="1" x14ac:dyDescent="0.35">
      <c r="A445" s="1">
        <v>44588</v>
      </c>
      <c r="B445" t="s">
        <v>8</v>
      </c>
      <c r="C445" t="s">
        <v>13</v>
      </c>
      <c r="D445">
        <v>1819.68</v>
      </c>
      <c r="E445">
        <v>9</v>
      </c>
      <c r="F445" t="s">
        <v>19</v>
      </c>
      <c r="G445" t="str">
        <f>CHOOSE(H445,"January","February","March","April","May","June","July","August","September","October","November","December")</f>
        <v>January</v>
      </c>
      <c r="H445">
        <f>MONTH(Table1[[#This Row],[Date]])</f>
        <v>1</v>
      </c>
      <c r="I445">
        <f>YEAR(Table1[[#This Row],[Date]])</f>
        <v>2022</v>
      </c>
    </row>
    <row r="446" spans="1:9" x14ac:dyDescent="0.35">
      <c r="A446" s="1">
        <v>45234</v>
      </c>
      <c r="B446" t="s">
        <v>8</v>
      </c>
      <c r="C446" t="s">
        <v>12</v>
      </c>
      <c r="D446" s="9">
        <v>1868.61</v>
      </c>
      <c r="E446">
        <v>4</v>
      </c>
      <c r="F446" t="s">
        <v>19</v>
      </c>
      <c r="G446" t="str">
        <f>CHOOSE(H446,"January","February","March","April","May","June","July","August","September","October","November","December")</f>
        <v>November</v>
      </c>
      <c r="H446">
        <f>MONTH(Table1[[#This Row],[Date]])</f>
        <v>11</v>
      </c>
      <c r="I446">
        <f>YEAR(Table1[[#This Row],[Date]])</f>
        <v>2023</v>
      </c>
    </row>
    <row r="447" spans="1:9" hidden="1" x14ac:dyDescent="0.35">
      <c r="A447" s="1">
        <v>44605</v>
      </c>
      <c r="B447" t="s">
        <v>9</v>
      </c>
      <c r="C447" t="s">
        <v>14</v>
      </c>
      <c r="D447">
        <v>1750.74</v>
      </c>
      <c r="E447">
        <v>9</v>
      </c>
      <c r="F447" t="s">
        <v>15</v>
      </c>
      <c r="G447" t="str">
        <f>CHOOSE(H447,"January","February","March","April","May","June","July","August","September","October","November","December")</f>
        <v>February</v>
      </c>
      <c r="H447">
        <f>MONTH(Table1[[#This Row],[Date]])</f>
        <v>2</v>
      </c>
      <c r="I447">
        <f>YEAR(Table1[[#This Row],[Date]])</f>
        <v>2022</v>
      </c>
    </row>
    <row r="448" spans="1:9" hidden="1" x14ac:dyDescent="0.35">
      <c r="A448" s="1">
        <v>44922</v>
      </c>
      <c r="B448" t="s">
        <v>9</v>
      </c>
      <c r="C448" t="s">
        <v>13</v>
      </c>
      <c r="D448">
        <v>399.04</v>
      </c>
      <c r="E448">
        <v>9</v>
      </c>
      <c r="F448" t="s">
        <v>19</v>
      </c>
      <c r="G448" t="str">
        <f>CHOOSE(H448,"January","February","March","April","May","June","July","August","September","October","November","December")</f>
        <v>December</v>
      </c>
      <c r="H448">
        <f>MONTH(Table1[[#This Row],[Date]])</f>
        <v>12</v>
      </c>
      <c r="I448">
        <f>YEAR(Table1[[#This Row],[Date]])</f>
        <v>2022</v>
      </c>
    </row>
    <row r="449" spans="1:9" x14ac:dyDescent="0.35">
      <c r="A449" s="1">
        <v>45234</v>
      </c>
      <c r="B449" t="s">
        <v>10</v>
      </c>
      <c r="C449" t="s">
        <v>12</v>
      </c>
      <c r="D449" s="9">
        <v>1053.46</v>
      </c>
      <c r="E449">
        <v>1</v>
      </c>
      <c r="F449" t="s">
        <v>17</v>
      </c>
      <c r="G449" t="str">
        <f>CHOOSE(H449,"January","February","March","April","May","June","July","August","September","October","November","December")</f>
        <v>November</v>
      </c>
      <c r="H449">
        <f>MONTH(Table1[[#This Row],[Date]])</f>
        <v>11</v>
      </c>
      <c r="I449">
        <f>YEAR(Table1[[#This Row],[Date]])</f>
        <v>2023</v>
      </c>
    </row>
    <row r="450" spans="1:9" x14ac:dyDescent="0.35">
      <c r="A450" s="1">
        <v>45235</v>
      </c>
      <c r="B450" t="s">
        <v>10</v>
      </c>
      <c r="C450" t="s">
        <v>11</v>
      </c>
      <c r="D450" s="9">
        <v>516.55999999999995</v>
      </c>
      <c r="E450">
        <v>1</v>
      </c>
      <c r="F450" t="s">
        <v>19</v>
      </c>
      <c r="G450" t="str">
        <f>CHOOSE(H450,"January","February","March","April","May","June","July","August","September","October","November","December")</f>
        <v>November</v>
      </c>
      <c r="H450">
        <f>MONTH(Table1[[#This Row],[Date]])</f>
        <v>11</v>
      </c>
      <c r="I450">
        <f>YEAR(Table1[[#This Row],[Date]])</f>
        <v>2023</v>
      </c>
    </row>
    <row r="451" spans="1:9" hidden="1" x14ac:dyDescent="0.35">
      <c r="A451" s="1">
        <v>44576</v>
      </c>
      <c r="B451" t="s">
        <v>9</v>
      </c>
      <c r="C451" t="s">
        <v>14</v>
      </c>
      <c r="D451">
        <v>1669.58</v>
      </c>
      <c r="E451">
        <v>9</v>
      </c>
      <c r="F451" t="s">
        <v>18</v>
      </c>
      <c r="G451" t="str">
        <f>CHOOSE(H451,"January","February","March","April","May","June","July","August","September","October","November","December")</f>
        <v>January</v>
      </c>
      <c r="H451">
        <f>MONTH(Table1[[#This Row],[Date]])</f>
        <v>1</v>
      </c>
      <c r="I451">
        <f>YEAR(Table1[[#This Row],[Date]])</f>
        <v>2022</v>
      </c>
    </row>
    <row r="452" spans="1:9" x14ac:dyDescent="0.35">
      <c r="A452" s="1">
        <v>45237</v>
      </c>
      <c r="B452" t="s">
        <v>9</v>
      </c>
      <c r="C452" t="s">
        <v>13</v>
      </c>
      <c r="D452" s="9">
        <v>1419.35</v>
      </c>
      <c r="E452">
        <v>8</v>
      </c>
      <c r="F452" t="s">
        <v>16</v>
      </c>
      <c r="G452" t="str">
        <f>CHOOSE(H452,"January","February","March","April","May","June","July","August","September","October","November","December")</f>
        <v>November</v>
      </c>
      <c r="H452">
        <f>MONTH(Table1[[#This Row],[Date]])</f>
        <v>11</v>
      </c>
      <c r="I452">
        <f>YEAR(Table1[[#This Row],[Date]])</f>
        <v>2023</v>
      </c>
    </row>
    <row r="453" spans="1:9" hidden="1" x14ac:dyDescent="0.35">
      <c r="A453" s="1">
        <v>44576</v>
      </c>
      <c r="B453" t="s">
        <v>6</v>
      </c>
      <c r="C453" t="s">
        <v>13</v>
      </c>
      <c r="D453">
        <v>985.87</v>
      </c>
      <c r="E453">
        <v>9</v>
      </c>
      <c r="F453" t="s">
        <v>19</v>
      </c>
      <c r="G453" t="str">
        <f>CHOOSE(H453,"January","February","March","April","May","June","July","August","September","October","November","December")</f>
        <v>January</v>
      </c>
      <c r="H453">
        <f>MONTH(Table1[[#This Row],[Date]])</f>
        <v>1</v>
      </c>
      <c r="I453">
        <f>YEAR(Table1[[#This Row],[Date]])</f>
        <v>2022</v>
      </c>
    </row>
    <row r="454" spans="1:9" x14ac:dyDescent="0.35">
      <c r="A454" s="1">
        <v>45241</v>
      </c>
      <c r="B454" t="s">
        <v>9</v>
      </c>
      <c r="C454" t="s">
        <v>11</v>
      </c>
      <c r="D454" s="9">
        <v>831.54</v>
      </c>
      <c r="E454">
        <v>8</v>
      </c>
      <c r="F454" t="s">
        <v>15</v>
      </c>
      <c r="G454" t="str">
        <f>CHOOSE(H454,"January","February","March","April","May","June","July","August","September","October","November","December")</f>
        <v>November</v>
      </c>
      <c r="H454">
        <f>MONTH(Table1[[#This Row],[Date]])</f>
        <v>11</v>
      </c>
      <c r="I454">
        <f>YEAR(Table1[[#This Row],[Date]])</f>
        <v>2023</v>
      </c>
    </row>
    <row r="455" spans="1:9" hidden="1" x14ac:dyDescent="0.35">
      <c r="A455" s="1">
        <v>44823</v>
      </c>
      <c r="B455" t="s">
        <v>10</v>
      </c>
      <c r="C455" t="s">
        <v>11</v>
      </c>
      <c r="D455">
        <v>1876.89</v>
      </c>
      <c r="E455">
        <v>9</v>
      </c>
      <c r="F455" t="s">
        <v>15</v>
      </c>
      <c r="G455" t="str">
        <f>CHOOSE(H455,"January","February","March","April","May","June","July","August","September","October","November","December")</f>
        <v>September</v>
      </c>
      <c r="H455">
        <f>MONTH(Table1[[#This Row],[Date]])</f>
        <v>9</v>
      </c>
      <c r="I455">
        <f>YEAR(Table1[[#This Row],[Date]])</f>
        <v>2022</v>
      </c>
    </row>
    <row r="456" spans="1:9" hidden="1" x14ac:dyDescent="0.35">
      <c r="A456" s="1">
        <v>44893</v>
      </c>
      <c r="B456" t="s">
        <v>8</v>
      </c>
      <c r="C456" t="s">
        <v>11</v>
      </c>
      <c r="D456">
        <v>1718.71</v>
      </c>
      <c r="E456">
        <v>9</v>
      </c>
      <c r="F456" t="s">
        <v>15</v>
      </c>
      <c r="G456" t="str">
        <f>CHOOSE(H456,"January","February","March","April","May","June","July","August","September","October","November","December")</f>
        <v>November</v>
      </c>
      <c r="H456">
        <f>MONTH(Table1[[#This Row],[Date]])</f>
        <v>11</v>
      </c>
      <c r="I456">
        <f>YEAR(Table1[[#This Row],[Date]])</f>
        <v>2022</v>
      </c>
    </row>
    <row r="457" spans="1:9" hidden="1" x14ac:dyDescent="0.35">
      <c r="A457" s="1">
        <v>44637</v>
      </c>
      <c r="B457" t="s">
        <v>10</v>
      </c>
      <c r="C457" t="s">
        <v>13</v>
      </c>
      <c r="D457">
        <v>586.28</v>
      </c>
      <c r="E457">
        <v>9</v>
      </c>
      <c r="F457" t="s">
        <v>19</v>
      </c>
      <c r="G457" t="str">
        <f>CHOOSE(H457,"January","February","March","April","May","June","July","August","September","October","November","December")</f>
        <v>March</v>
      </c>
      <c r="H457">
        <f>MONTH(Table1[[#This Row],[Date]])</f>
        <v>3</v>
      </c>
      <c r="I457">
        <f>YEAR(Table1[[#This Row],[Date]])</f>
        <v>2022</v>
      </c>
    </row>
    <row r="458" spans="1:9" hidden="1" x14ac:dyDescent="0.35">
      <c r="A458" s="1">
        <v>44649</v>
      </c>
      <c r="B458" t="s">
        <v>10</v>
      </c>
      <c r="C458" t="s">
        <v>12</v>
      </c>
      <c r="D458">
        <v>658.06</v>
      </c>
      <c r="E458">
        <v>9</v>
      </c>
      <c r="F458" t="s">
        <v>16</v>
      </c>
      <c r="G458" t="str">
        <f>CHOOSE(H458,"January","February","March","April","May","June","July","August","September","October","November","December")</f>
        <v>March</v>
      </c>
      <c r="H458">
        <f>MONTH(Table1[[#This Row],[Date]])</f>
        <v>3</v>
      </c>
      <c r="I458">
        <f>YEAR(Table1[[#This Row],[Date]])</f>
        <v>2022</v>
      </c>
    </row>
    <row r="459" spans="1:9" hidden="1" x14ac:dyDescent="0.35">
      <c r="A459" s="1">
        <v>44862</v>
      </c>
      <c r="B459" t="s">
        <v>7</v>
      </c>
      <c r="C459" t="s">
        <v>14</v>
      </c>
      <c r="D459">
        <v>206.87</v>
      </c>
      <c r="E459">
        <v>9</v>
      </c>
      <c r="F459" t="s">
        <v>18</v>
      </c>
      <c r="G459" t="str">
        <f>CHOOSE(H459,"January","February","March","April","May","June","July","August","September","October","November","December")</f>
        <v>October</v>
      </c>
      <c r="H459">
        <f>MONTH(Table1[[#This Row],[Date]])</f>
        <v>10</v>
      </c>
      <c r="I459">
        <f>YEAR(Table1[[#This Row],[Date]])</f>
        <v>2022</v>
      </c>
    </row>
    <row r="460" spans="1:9" hidden="1" x14ac:dyDescent="0.35">
      <c r="A460" s="1">
        <v>44905</v>
      </c>
      <c r="B460" t="s">
        <v>6</v>
      </c>
      <c r="C460" t="s">
        <v>13</v>
      </c>
      <c r="D460">
        <v>1947.92</v>
      </c>
      <c r="E460">
        <v>10</v>
      </c>
      <c r="F460" t="s">
        <v>17</v>
      </c>
      <c r="G460" t="str">
        <f>CHOOSE(H460,"January","February","March","April","May","June","July","August","September","October","November","December")</f>
        <v>December</v>
      </c>
      <c r="H460">
        <f>MONTH(Table1[[#This Row],[Date]])</f>
        <v>12</v>
      </c>
      <c r="I460">
        <f>YEAR(Table1[[#This Row],[Date]])</f>
        <v>2022</v>
      </c>
    </row>
    <row r="461" spans="1:9" hidden="1" x14ac:dyDescent="0.35">
      <c r="A461" s="1">
        <v>44656</v>
      </c>
      <c r="B461" t="s">
        <v>7</v>
      </c>
      <c r="C461" t="s">
        <v>13</v>
      </c>
      <c r="D461">
        <v>341.93</v>
      </c>
      <c r="E461">
        <v>10</v>
      </c>
      <c r="F461" t="s">
        <v>17</v>
      </c>
      <c r="G461" t="str">
        <f>CHOOSE(H461,"January","February","March","April","May","June","July","August","September","October","November","December")</f>
        <v>April</v>
      </c>
      <c r="H461">
        <f>MONTH(Table1[[#This Row],[Date]])</f>
        <v>4</v>
      </c>
      <c r="I461">
        <f>YEAR(Table1[[#This Row],[Date]])</f>
        <v>2022</v>
      </c>
    </row>
    <row r="462" spans="1:9" hidden="1" x14ac:dyDescent="0.35">
      <c r="A462" s="1">
        <v>44664</v>
      </c>
      <c r="B462" t="s">
        <v>8</v>
      </c>
      <c r="C462" t="s">
        <v>11</v>
      </c>
      <c r="D462">
        <v>1623.9</v>
      </c>
      <c r="E462">
        <v>10</v>
      </c>
      <c r="F462" t="s">
        <v>17</v>
      </c>
      <c r="G462" t="str">
        <f>CHOOSE(H462,"January","February","March","April","May","June","July","August","September","October","November","December")</f>
        <v>April</v>
      </c>
      <c r="H462">
        <f>MONTH(Table1[[#This Row],[Date]])</f>
        <v>4</v>
      </c>
      <c r="I462">
        <f>YEAR(Table1[[#This Row],[Date]])</f>
        <v>2022</v>
      </c>
    </row>
    <row r="463" spans="1:9" x14ac:dyDescent="0.35">
      <c r="A463" s="1">
        <v>45245</v>
      </c>
      <c r="B463" t="s">
        <v>8</v>
      </c>
      <c r="C463" t="s">
        <v>13</v>
      </c>
      <c r="D463" s="9">
        <v>1454.19</v>
      </c>
      <c r="E463">
        <v>3</v>
      </c>
      <c r="F463" t="s">
        <v>16</v>
      </c>
      <c r="G463" t="str">
        <f>CHOOSE(H463,"January","February","March","April","May","June","July","August","September","October","November","December")</f>
        <v>November</v>
      </c>
      <c r="H463">
        <f>MONTH(Table1[[#This Row],[Date]])</f>
        <v>11</v>
      </c>
      <c r="I463">
        <f>YEAR(Table1[[#This Row],[Date]])</f>
        <v>2023</v>
      </c>
    </row>
    <row r="464" spans="1:9" x14ac:dyDescent="0.35">
      <c r="A464" s="1">
        <v>45245</v>
      </c>
      <c r="B464" t="s">
        <v>6</v>
      </c>
      <c r="C464" t="s">
        <v>11</v>
      </c>
      <c r="D464" s="9">
        <v>1425.2</v>
      </c>
      <c r="E464">
        <v>1</v>
      </c>
      <c r="F464" t="s">
        <v>17</v>
      </c>
      <c r="G464" t="str">
        <f>CHOOSE(H464,"January","February","March","April","May","June","July","August","September","October","November","December")</f>
        <v>November</v>
      </c>
      <c r="H464">
        <f>MONTH(Table1[[#This Row],[Date]])</f>
        <v>11</v>
      </c>
      <c r="I464">
        <f>YEAR(Table1[[#This Row],[Date]])</f>
        <v>2023</v>
      </c>
    </row>
    <row r="465" spans="1:9" hidden="1" x14ac:dyDescent="0.35">
      <c r="A465" s="1">
        <v>44886</v>
      </c>
      <c r="B465" t="s">
        <v>7</v>
      </c>
      <c r="C465" t="s">
        <v>11</v>
      </c>
      <c r="D465">
        <v>1984.54</v>
      </c>
      <c r="E465">
        <v>10</v>
      </c>
      <c r="F465" t="s">
        <v>17</v>
      </c>
      <c r="G465" t="str">
        <f>CHOOSE(H465,"January","February","March","April","May","June","July","August","September","October","November","December")</f>
        <v>November</v>
      </c>
      <c r="H465">
        <f>MONTH(Table1[[#This Row],[Date]])</f>
        <v>11</v>
      </c>
      <c r="I465">
        <f>YEAR(Table1[[#This Row],[Date]])</f>
        <v>2022</v>
      </c>
    </row>
    <row r="466" spans="1:9" hidden="1" x14ac:dyDescent="0.35">
      <c r="A466" s="1">
        <v>44708</v>
      </c>
      <c r="B466" t="s">
        <v>9</v>
      </c>
      <c r="C466" t="s">
        <v>13</v>
      </c>
      <c r="D466">
        <v>1793.96</v>
      </c>
      <c r="E466">
        <v>10</v>
      </c>
      <c r="F466" t="s">
        <v>17</v>
      </c>
      <c r="G466" t="str">
        <f>CHOOSE(H466,"January","February","March","April","May","June","July","August","September","October","November","December")</f>
        <v>May</v>
      </c>
      <c r="H466">
        <f>MONTH(Table1[[#This Row],[Date]])</f>
        <v>5</v>
      </c>
      <c r="I466">
        <f>YEAR(Table1[[#This Row],[Date]])</f>
        <v>2022</v>
      </c>
    </row>
    <row r="467" spans="1:9" hidden="1" x14ac:dyDescent="0.35">
      <c r="A467" s="1">
        <v>44674</v>
      </c>
      <c r="B467" t="s">
        <v>6</v>
      </c>
      <c r="C467" t="s">
        <v>13</v>
      </c>
      <c r="D467">
        <v>398.89</v>
      </c>
      <c r="E467">
        <v>10</v>
      </c>
      <c r="F467" t="s">
        <v>17</v>
      </c>
      <c r="G467" t="str">
        <f>CHOOSE(H467,"January","February","March","April","May","June","July","August","September","October","November","December")</f>
        <v>April</v>
      </c>
      <c r="H467">
        <f>MONTH(Table1[[#This Row],[Date]])</f>
        <v>4</v>
      </c>
      <c r="I467">
        <f>YEAR(Table1[[#This Row],[Date]])</f>
        <v>2022</v>
      </c>
    </row>
    <row r="468" spans="1:9" hidden="1" x14ac:dyDescent="0.35">
      <c r="A468" s="1">
        <v>44588</v>
      </c>
      <c r="B468" t="s">
        <v>6</v>
      </c>
      <c r="C468" t="s">
        <v>14</v>
      </c>
      <c r="D468">
        <v>473.17</v>
      </c>
      <c r="E468">
        <v>10</v>
      </c>
      <c r="F468" t="s">
        <v>15</v>
      </c>
      <c r="G468" t="str">
        <f>CHOOSE(H468,"January","February","March","April","May","June","July","August","September","October","November","December")</f>
        <v>January</v>
      </c>
      <c r="H468">
        <f>MONTH(Table1[[#This Row],[Date]])</f>
        <v>1</v>
      </c>
      <c r="I468">
        <f>YEAR(Table1[[#This Row],[Date]])</f>
        <v>2022</v>
      </c>
    </row>
    <row r="469" spans="1:9" hidden="1" x14ac:dyDescent="0.35">
      <c r="A469" s="1">
        <v>44810</v>
      </c>
      <c r="B469" t="s">
        <v>6</v>
      </c>
      <c r="C469" t="s">
        <v>14</v>
      </c>
      <c r="D469">
        <v>844.44</v>
      </c>
      <c r="E469">
        <v>10</v>
      </c>
      <c r="F469" t="s">
        <v>18</v>
      </c>
      <c r="G469" t="str">
        <f>CHOOSE(H469,"January","February","March","April","May","June","July","August","September","October","November","December")</f>
        <v>September</v>
      </c>
      <c r="H469">
        <f>MONTH(Table1[[#This Row],[Date]])</f>
        <v>9</v>
      </c>
      <c r="I469">
        <f>YEAR(Table1[[#This Row],[Date]])</f>
        <v>2022</v>
      </c>
    </row>
    <row r="470" spans="1:9" hidden="1" x14ac:dyDescent="0.35">
      <c r="A470" s="1">
        <v>44610</v>
      </c>
      <c r="B470" t="s">
        <v>7</v>
      </c>
      <c r="C470" t="s">
        <v>11</v>
      </c>
      <c r="D470">
        <v>842.33</v>
      </c>
      <c r="E470">
        <v>10</v>
      </c>
      <c r="F470" t="s">
        <v>17</v>
      </c>
      <c r="G470" t="str">
        <f>CHOOSE(H470,"January","February","March","April","May","June","July","August","September","October","November","December")</f>
        <v>February</v>
      </c>
      <c r="H470">
        <f>MONTH(Table1[[#This Row],[Date]])</f>
        <v>2</v>
      </c>
      <c r="I470">
        <f>YEAR(Table1[[#This Row],[Date]])</f>
        <v>2022</v>
      </c>
    </row>
    <row r="471" spans="1:9" hidden="1" x14ac:dyDescent="0.35">
      <c r="A471" s="1">
        <v>44571</v>
      </c>
      <c r="B471" t="s">
        <v>9</v>
      </c>
      <c r="C471" t="s">
        <v>12</v>
      </c>
      <c r="D471">
        <v>755.59</v>
      </c>
      <c r="E471">
        <v>10</v>
      </c>
      <c r="F471" t="s">
        <v>17</v>
      </c>
      <c r="G471" t="str">
        <f>CHOOSE(H471,"January","February","March","April","May","June","July","August","September","October","November","December")</f>
        <v>January</v>
      </c>
      <c r="H471">
        <f>MONTH(Table1[[#This Row],[Date]])</f>
        <v>1</v>
      </c>
      <c r="I471">
        <f>YEAR(Table1[[#This Row],[Date]])</f>
        <v>2022</v>
      </c>
    </row>
    <row r="472" spans="1:9" hidden="1" x14ac:dyDescent="0.35">
      <c r="A472" s="1">
        <v>44801</v>
      </c>
      <c r="B472" t="s">
        <v>8</v>
      </c>
      <c r="C472" t="s">
        <v>13</v>
      </c>
      <c r="D472">
        <v>1361.38</v>
      </c>
      <c r="E472">
        <v>10</v>
      </c>
      <c r="F472" t="s">
        <v>17</v>
      </c>
      <c r="G472" t="str">
        <f>CHOOSE(H472,"January","February","March","April","May","June","July","August","September","October","November","December")</f>
        <v>August</v>
      </c>
      <c r="H472">
        <f>MONTH(Table1[[#This Row],[Date]])</f>
        <v>8</v>
      </c>
      <c r="I472">
        <f>YEAR(Table1[[#This Row],[Date]])</f>
        <v>2022</v>
      </c>
    </row>
    <row r="473" spans="1:9" x14ac:dyDescent="0.35">
      <c r="A473" s="1">
        <v>45246</v>
      </c>
      <c r="B473" t="s">
        <v>6</v>
      </c>
      <c r="C473" t="s">
        <v>13</v>
      </c>
      <c r="D473" s="9">
        <v>272.24</v>
      </c>
      <c r="E473">
        <v>6</v>
      </c>
      <c r="F473" t="s">
        <v>18</v>
      </c>
      <c r="G473" t="str">
        <f>CHOOSE(H473,"January","February","March","April","May","June","July","August","September","October","November","December")</f>
        <v>November</v>
      </c>
      <c r="H473">
        <f>MONTH(Table1[[#This Row],[Date]])</f>
        <v>11</v>
      </c>
      <c r="I473">
        <f>YEAR(Table1[[#This Row],[Date]])</f>
        <v>2023</v>
      </c>
    </row>
    <row r="474" spans="1:9" x14ac:dyDescent="0.35">
      <c r="A474" s="1">
        <v>45247</v>
      </c>
      <c r="B474" t="s">
        <v>10</v>
      </c>
      <c r="C474" t="s">
        <v>14</v>
      </c>
      <c r="D474" s="9">
        <v>1606.52</v>
      </c>
      <c r="E474">
        <v>3</v>
      </c>
      <c r="F474" t="s">
        <v>16</v>
      </c>
      <c r="G474" t="str">
        <f>CHOOSE(H474,"January","February","March","April","May","June","July","August","September","October","November","December")</f>
        <v>November</v>
      </c>
      <c r="H474">
        <f>MONTH(Table1[[#This Row],[Date]])</f>
        <v>11</v>
      </c>
      <c r="I474">
        <f>YEAR(Table1[[#This Row],[Date]])</f>
        <v>2023</v>
      </c>
    </row>
    <row r="475" spans="1:9" hidden="1" x14ac:dyDescent="0.35">
      <c r="A475" s="1">
        <v>44598</v>
      </c>
      <c r="B475" t="s">
        <v>6</v>
      </c>
      <c r="C475" t="s">
        <v>14</v>
      </c>
      <c r="D475">
        <v>259</v>
      </c>
      <c r="E475">
        <v>10</v>
      </c>
      <c r="F475" t="s">
        <v>17</v>
      </c>
      <c r="G475" t="str">
        <f>CHOOSE(H475,"January","February","March","April","May","June","July","August","September","October","November","December")</f>
        <v>February</v>
      </c>
      <c r="H475">
        <f>MONTH(Table1[[#This Row],[Date]])</f>
        <v>2</v>
      </c>
      <c r="I475">
        <f>YEAR(Table1[[#This Row],[Date]])</f>
        <v>2022</v>
      </c>
    </row>
    <row r="476" spans="1:9" x14ac:dyDescent="0.35">
      <c r="A476" s="1">
        <v>45249</v>
      </c>
      <c r="B476" t="s">
        <v>8</v>
      </c>
      <c r="C476" t="s">
        <v>12</v>
      </c>
      <c r="D476" s="9">
        <v>1379.87</v>
      </c>
      <c r="E476">
        <v>2</v>
      </c>
      <c r="F476" t="s">
        <v>19</v>
      </c>
      <c r="G476" t="str">
        <f>CHOOSE(H476,"January","February","March","April","May","June","July","August","September","October","November","December")</f>
        <v>November</v>
      </c>
      <c r="H476">
        <f>MONTH(Table1[[#This Row],[Date]])</f>
        <v>11</v>
      </c>
      <c r="I476">
        <f>YEAR(Table1[[#This Row],[Date]])</f>
        <v>2023</v>
      </c>
    </row>
    <row r="477" spans="1:9" hidden="1" x14ac:dyDescent="0.35">
      <c r="A477" s="1">
        <v>44876</v>
      </c>
      <c r="B477" t="s">
        <v>7</v>
      </c>
      <c r="C477" t="s">
        <v>12</v>
      </c>
      <c r="D477">
        <v>1417.1</v>
      </c>
      <c r="E477">
        <v>10</v>
      </c>
      <c r="F477" t="s">
        <v>17</v>
      </c>
      <c r="G477" t="str">
        <f>CHOOSE(H477,"January","February","March","April","May","June","July","August","September","October","November","December")</f>
        <v>November</v>
      </c>
      <c r="H477">
        <f>MONTH(Table1[[#This Row],[Date]])</f>
        <v>11</v>
      </c>
      <c r="I477">
        <f>YEAR(Table1[[#This Row],[Date]])</f>
        <v>2022</v>
      </c>
    </row>
    <row r="478" spans="1:9" hidden="1" x14ac:dyDescent="0.35">
      <c r="A478" s="1">
        <v>44666</v>
      </c>
      <c r="B478" t="s">
        <v>10</v>
      </c>
      <c r="C478" t="s">
        <v>13</v>
      </c>
      <c r="D478">
        <v>1731.56</v>
      </c>
      <c r="E478">
        <v>10</v>
      </c>
      <c r="F478" t="s">
        <v>17</v>
      </c>
      <c r="G478" t="str">
        <f>CHOOSE(H478,"January","February","March","April","May","June","July","August","September","October","November","December")</f>
        <v>April</v>
      </c>
      <c r="H478">
        <f>MONTH(Table1[[#This Row],[Date]])</f>
        <v>4</v>
      </c>
      <c r="I478">
        <f>YEAR(Table1[[#This Row],[Date]])</f>
        <v>2022</v>
      </c>
    </row>
    <row r="479" spans="1:9" x14ac:dyDescent="0.35">
      <c r="A479" s="1">
        <v>45249</v>
      </c>
      <c r="B479" t="s">
        <v>6</v>
      </c>
      <c r="C479" t="s">
        <v>11</v>
      </c>
      <c r="D479" s="9">
        <v>848.93</v>
      </c>
      <c r="E479">
        <v>4</v>
      </c>
      <c r="F479" t="s">
        <v>15</v>
      </c>
      <c r="G479" t="str">
        <f>CHOOSE(H479,"January","February","March","April","May","June","July","August","September","October","November","December")</f>
        <v>November</v>
      </c>
      <c r="H479">
        <f>MONTH(Table1[[#This Row],[Date]])</f>
        <v>11</v>
      </c>
      <c r="I479">
        <f>YEAR(Table1[[#This Row],[Date]])</f>
        <v>2023</v>
      </c>
    </row>
    <row r="480" spans="1:9" hidden="1" x14ac:dyDescent="0.35">
      <c r="A480" s="1">
        <v>44584</v>
      </c>
      <c r="B480" t="s">
        <v>8</v>
      </c>
      <c r="C480" t="s">
        <v>12</v>
      </c>
      <c r="D480">
        <v>106.12</v>
      </c>
      <c r="E480">
        <v>10</v>
      </c>
      <c r="F480" t="s">
        <v>19</v>
      </c>
      <c r="G480" t="str">
        <f>CHOOSE(H480,"January","February","March","April","May","June","July","August","September","October","November","December")</f>
        <v>January</v>
      </c>
      <c r="H480">
        <f>MONTH(Table1[[#This Row],[Date]])</f>
        <v>1</v>
      </c>
      <c r="I480">
        <f>YEAR(Table1[[#This Row],[Date]])</f>
        <v>2022</v>
      </c>
    </row>
    <row r="481" spans="1:9" hidden="1" x14ac:dyDescent="0.35">
      <c r="A481" s="1">
        <v>44658</v>
      </c>
      <c r="B481" t="s">
        <v>10</v>
      </c>
      <c r="C481" t="s">
        <v>13</v>
      </c>
      <c r="D481">
        <v>1515.8</v>
      </c>
      <c r="E481">
        <v>10</v>
      </c>
      <c r="F481" t="s">
        <v>16</v>
      </c>
      <c r="G481" t="str">
        <f>CHOOSE(H481,"January","February","March","April","May","June","July","August","September","October","November","December")</f>
        <v>April</v>
      </c>
      <c r="H481">
        <f>MONTH(Table1[[#This Row],[Date]])</f>
        <v>4</v>
      </c>
      <c r="I481">
        <f>YEAR(Table1[[#This Row],[Date]])</f>
        <v>2022</v>
      </c>
    </row>
    <row r="482" spans="1:9" hidden="1" x14ac:dyDescent="0.35">
      <c r="A482" s="1">
        <v>44616</v>
      </c>
      <c r="B482" t="s">
        <v>9</v>
      </c>
      <c r="C482" t="s">
        <v>12</v>
      </c>
      <c r="D482">
        <v>444.26</v>
      </c>
      <c r="E482">
        <v>10</v>
      </c>
      <c r="F482" t="s">
        <v>18</v>
      </c>
      <c r="G482" t="str">
        <f>CHOOSE(H482,"January","February","March","April","May","June","July","August","September","October","November","December")</f>
        <v>February</v>
      </c>
      <c r="H482">
        <f>MONTH(Table1[[#This Row],[Date]])</f>
        <v>2</v>
      </c>
      <c r="I482">
        <f>YEAR(Table1[[#This Row],[Date]])</f>
        <v>2022</v>
      </c>
    </row>
    <row r="483" spans="1:9" hidden="1" x14ac:dyDescent="0.35">
      <c r="A483" s="1">
        <v>44614</v>
      </c>
      <c r="B483" t="s">
        <v>9</v>
      </c>
      <c r="C483" t="s">
        <v>13</v>
      </c>
      <c r="D483">
        <v>1898.5</v>
      </c>
      <c r="E483">
        <v>10</v>
      </c>
      <c r="F483" t="s">
        <v>18</v>
      </c>
      <c r="G483" t="str">
        <f>CHOOSE(H483,"January","February","March","April","May","June","July","August","September","October","November","December")</f>
        <v>February</v>
      </c>
      <c r="H483">
        <f>MONTH(Table1[[#This Row],[Date]])</f>
        <v>2</v>
      </c>
      <c r="I483">
        <f>YEAR(Table1[[#This Row],[Date]])</f>
        <v>2022</v>
      </c>
    </row>
    <row r="484" spans="1:9" hidden="1" x14ac:dyDescent="0.35">
      <c r="A484" s="1">
        <v>44918</v>
      </c>
      <c r="B484" t="s">
        <v>7</v>
      </c>
      <c r="C484" t="s">
        <v>13</v>
      </c>
      <c r="D484">
        <v>1819.43</v>
      </c>
      <c r="E484">
        <v>10</v>
      </c>
      <c r="F484" t="s">
        <v>19</v>
      </c>
      <c r="G484" t="str">
        <f>CHOOSE(H484,"January","February","March","April","May","June","July","August","September","October","November","December")</f>
        <v>December</v>
      </c>
      <c r="H484">
        <f>MONTH(Table1[[#This Row],[Date]])</f>
        <v>12</v>
      </c>
      <c r="I484">
        <f>YEAR(Table1[[#This Row],[Date]])</f>
        <v>2022</v>
      </c>
    </row>
    <row r="485" spans="1:9" x14ac:dyDescent="0.35">
      <c r="A485" s="1">
        <v>45250</v>
      </c>
      <c r="B485" t="s">
        <v>7</v>
      </c>
      <c r="C485" t="s">
        <v>13</v>
      </c>
      <c r="D485" s="9">
        <v>832.7</v>
      </c>
      <c r="E485">
        <v>4</v>
      </c>
      <c r="F485" t="s">
        <v>17</v>
      </c>
      <c r="G485" t="str">
        <f>CHOOSE(H485,"January","February","March","April","May","June","July","August","September","October","November","December")</f>
        <v>November</v>
      </c>
      <c r="H485">
        <f>MONTH(Table1[[#This Row],[Date]])</f>
        <v>11</v>
      </c>
      <c r="I485">
        <f>YEAR(Table1[[#This Row],[Date]])</f>
        <v>2023</v>
      </c>
    </row>
    <row r="486" spans="1:9" x14ac:dyDescent="0.35">
      <c r="A486" s="1">
        <v>45251</v>
      </c>
      <c r="B486" t="s">
        <v>7</v>
      </c>
      <c r="C486" t="s">
        <v>11</v>
      </c>
      <c r="D486" s="9">
        <v>539.02</v>
      </c>
      <c r="E486">
        <v>1</v>
      </c>
      <c r="F486" t="s">
        <v>18</v>
      </c>
      <c r="G486" t="str">
        <f>CHOOSE(H486,"January","February","March","April","May","June","July","August","September","October","November","December")</f>
        <v>November</v>
      </c>
      <c r="H486">
        <f>MONTH(Table1[[#This Row],[Date]])</f>
        <v>11</v>
      </c>
      <c r="I486">
        <f>YEAR(Table1[[#This Row],[Date]])</f>
        <v>2023</v>
      </c>
    </row>
    <row r="487" spans="1:9" hidden="1" x14ac:dyDescent="0.35">
      <c r="A487" s="1">
        <v>44894</v>
      </c>
      <c r="B487" t="s">
        <v>10</v>
      </c>
      <c r="C487" t="s">
        <v>12</v>
      </c>
      <c r="D487">
        <v>811.48</v>
      </c>
      <c r="E487">
        <v>10</v>
      </c>
      <c r="F487" t="s">
        <v>15</v>
      </c>
      <c r="G487" t="str">
        <f>CHOOSE(H487,"January","February","March","April","May","June","July","August","September","October","November","December")</f>
        <v>November</v>
      </c>
      <c r="H487">
        <f>MONTH(Table1[[#This Row],[Date]])</f>
        <v>11</v>
      </c>
      <c r="I487">
        <f>YEAR(Table1[[#This Row],[Date]])</f>
        <v>2022</v>
      </c>
    </row>
    <row r="488" spans="1:9" hidden="1" x14ac:dyDescent="0.35">
      <c r="A488" s="1">
        <v>44606</v>
      </c>
      <c r="B488" t="s">
        <v>8</v>
      </c>
      <c r="C488" t="s">
        <v>14</v>
      </c>
      <c r="D488">
        <v>1391.13</v>
      </c>
      <c r="E488">
        <v>10</v>
      </c>
      <c r="F488" t="s">
        <v>19</v>
      </c>
      <c r="G488" t="str">
        <f>CHOOSE(H488,"January","February","March","April","May","June","July","August","September","October","November","December")</f>
        <v>February</v>
      </c>
      <c r="H488">
        <f>MONTH(Table1[[#This Row],[Date]])</f>
        <v>2</v>
      </c>
      <c r="I488">
        <f>YEAR(Table1[[#This Row],[Date]])</f>
        <v>2022</v>
      </c>
    </row>
    <row r="489" spans="1:9" x14ac:dyDescent="0.35">
      <c r="A489" s="1">
        <v>45251</v>
      </c>
      <c r="B489" t="s">
        <v>6</v>
      </c>
      <c r="C489" t="s">
        <v>12</v>
      </c>
      <c r="D489" s="9">
        <v>337.35</v>
      </c>
      <c r="E489">
        <v>6</v>
      </c>
      <c r="F489" t="s">
        <v>19</v>
      </c>
      <c r="G489" t="str">
        <f>CHOOSE(H489,"January","February","March","April","May","June","July","August","September","October","November","December")</f>
        <v>November</v>
      </c>
      <c r="H489">
        <f>MONTH(Table1[[#This Row],[Date]])</f>
        <v>11</v>
      </c>
      <c r="I489">
        <f>YEAR(Table1[[#This Row],[Date]])</f>
        <v>2023</v>
      </c>
    </row>
    <row r="490" spans="1:9" hidden="1" x14ac:dyDescent="0.35">
      <c r="A490" s="1">
        <v>44883</v>
      </c>
      <c r="B490" t="s">
        <v>9</v>
      </c>
      <c r="C490" t="s">
        <v>12</v>
      </c>
      <c r="D490">
        <v>432.71</v>
      </c>
      <c r="E490">
        <v>10</v>
      </c>
      <c r="F490" t="s">
        <v>19</v>
      </c>
      <c r="G490" t="str">
        <f>CHOOSE(H490,"January","February","March","April","May","June","July","August","September","October","November","December")</f>
        <v>November</v>
      </c>
      <c r="H490">
        <f>MONTH(Table1[[#This Row],[Date]])</f>
        <v>11</v>
      </c>
      <c r="I490">
        <f>YEAR(Table1[[#This Row],[Date]])</f>
        <v>2022</v>
      </c>
    </row>
    <row r="491" spans="1:9" hidden="1" x14ac:dyDescent="0.35">
      <c r="A491" s="1">
        <v>44652</v>
      </c>
      <c r="B491" t="s">
        <v>8</v>
      </c>
      <c r="C491" t="s">
        <v>11</v>
      </c>
      <c r="D491">
        <v>1619.17</v>
      </c>
      <c r="E491">
        <v>10</v>
      </c>
      <c r="F491" t="s">
        <v>15</v>
      </c>
      <c r="G491" t="str">
        <f>CHOOSE(H491,"January","February","March","April","May","June","July","August","September","October","November","December")</f>
        <v>April</v>
      </c>
      <c r="H491">
        <f>MONTH(Table1[[#This Row],[Date]])</f>
        <v>4</v>
      </c>
      <c r="I491">
        <f>YEAR(Table1[[#This Row],[Date]])</f>
        <v>2022</v>
      </c>
    </row>
    <row r="492" spans="1:9" hidden="1" x14ac:dyDescent="0.35">
      <c r="A492" s="1">
        <v>44581</v>
      </c>
      <c r="B492" t="s">
        <v>10</v>
      </c>
      <c r="C492" t="s">
        <v>12</v>
      </c>
      <c r="D492">
        <v>1615.02</v>
      </c>
      <c r="E492">
        <v>10</v>
      </c>
      <c r="F492" t="s">
        <v>18</v>
      </c>
      <c r="G492" t="str">
        <f>CHOOSE(H492,"January","February","March","April","May","June","July","August","September","October","November","December")</f>
        <v>January</v>
      </c>
      <c r="H492">
        <f>MONTH(Table1[[#This Row],[Date]])</f>
        <v>1</v>
      </c>
      <c r="I492">
        <f>YEAR(Table1[[#This Row],[Date]])</f>
        <v>2022</v>
      </c>
    </row>
    <row r="493" spans="1:9" x14ac:dyDescent="0.35">
      <c r="A493" s="1">
        <v>45257</v>
      </c>
      <c r="B493" t="s">
        <v>6</v>
      </c>
      <c r="C493" t="s">
        <v>14</v>
      </c>
      <c r="D493" s="9">
        <v>1747.34</v>
      </c>
      <c r="E493">
        <v>2</v>
      </c>
      <c r="F493" t="s">
        <v>19</v>
      </c>
      <c r="G493" t="str">
        <f>CHOOSE(H493,"January","February","March","April","May","June","July","August","September","October","November","December")</f>
        <v>November</v>
      </c>
      <c r="H493">
        <f>MONTH(Table1[[#This Row],[Date]])</f>
        <v>11</v>
      </c>
      <c r="I493">
        <f>YEAR(Table1[[#This Row],[Date]])</f>
        <v>2023</v>
      </c>
    </row>
    <row r="494" spans="1:9" hidden="1" x14ac:dyDescent="0.35">
      <c r="A494" s="1">
        <v>44641</v>
      </c>
      <c r="B494" t="s">
        <v>6</v>
      </c>
      <c r="C494" t="s">
        <v>13</v>
      </c>
      <c r="D494">
        <v>1579.8</v>
      </c>
      <c r="E494">
        <v>10</v>
      </c>
      <c r="F494" t="s">
        <v>19</v>
      </c>
      <c r="G494" t="str">
        <f>CHOOSE(H494,"January","February","March","April","May","June","July","August","September","October","November","December")</f>
        <v>March</v>
      </c>
      <c r="H494">
        <f>MONTH(Table1[[#This Row],[Date]])</f>
        <v>3</v>
      </c>
      <c r="I494">
        <f>YEAR(Table1[[#This Row],[Date]])</f>
        <v>2022</v>
      </c>
    </row>
    <row r="495" spans="1:9" hidden="1" x14ac:dyDescent="0.35">
      <c r="A495" s="1">
        <v>44667</v>
      </c>
      <c r="B495" t="s">
        <v>8</v>
      </c>
      <c r="C495" t="s">
        <v>11</v>
      </c>
      <c r="D495">
        <v>780.13</v>
      </c>
      <c r="E495">
        <v>10</v>
      </c>
      <c r="F495" t="s">
        <v>19</v>
      </c>
      <c r="G495" t="str">
        <f>CHOOSE(H495,"January","February","March","April","May","June","July","August","September","October","November","December")</f>
        <v>April</v>
      </c>
      <c r="H495">
        <f>MONTH(Table1[[#This Row],[Date]])</f>
        <v>4</v>
      </c>
      <c r="I495">
        <f>YEAR(Table1[[#This Row],[Date]])</f>
        <v>2022</v>
      </c>
    </row>
    <row r="496" spans="1:9" x14ac:dyDescent="0.35">
      <c r="A496" s="1">
        <v>45259</v>
      </c>
      <c r="B496" t="s">
        <v>9</v>
      </c>
      <c r="C496" t="s">
        <v>11</v>
      </c>
      <c r="D496" s="9">
        <v>1984.92</v>
      </c>
      <c r="E496">
        <v>2</v>
      </c>
      <c r="F496" t="s">
        <v>18</v>
      </c>
      <c r="G496" t="str">
        <f>CHOOSE(H496,"January","February","March","April","May","June","July","August","September","October","November","December")</f>
        <v>November</v>
      </c>
      <c r="H496">
        <f>MONTH(Table1[[#This Row],[Date]])</f>
        <v>11</v>
      </c>
      <c r="I496">
        <f>YEAR(Table1[[#This Row],[Date]])</f>
        <v>2023</v>
      </c>
    </row>
    <row r="497" spans="1:9" hidden="1" x14ac:dyDescent="0.35">
      <c r="A497" s="1">
        <v>44801</v>
      </c>
      <c r="B497" t="s">
        <v>6</v>
      </c>
      <c r="C497" t="s">
        <v>12</v>
      </c>
      <c r="D497">
        <v>1950.73</v>
      </c>
      <c r="E497">
        <v>10</v>
      </c>
      <c r="F497" t="s">
        <v>18</v>
      </c>
      <c r="G497" t="str">
        <f>CHOOSE(H497,"January","February","March","April","May","June","July","August","September","October","November","December")</f>
        <v>August</v>
      </c>
      <c r="H497">
        <f>MONTH(Table1[[#This Row],[Date]])</f>
        <v>8</v>
      </c>
      <c r="I497">
        <f>YEAR(Table1[[#This Row],[Date]])</f>
        <v>2022</v>
      </c>
    </row>
    <row r="498" spans="1:9" x14ac:dyDescent="0.35">
      <c r="A498" s="1">
        <v>45259</v>
      </c>
      <c r="B498" t="s">
        <v>7</v>
      </c>
      <c r="C498" t="s">
        <v>11</v>
      </c>
      <c r="D498" s="9">
        <v>406.53</v>
      </c>
      <c r="E498">
        <v>10</v>
      </c>
      <c r="F498" t="s">
        <v>17</v>
      </c>
      <c r="G498" t="str">
        <f>CHOOSE(H498,"January","February","March","April","May","June","July","August","September","October","November","December")</f>
        <v>November</v>
      </c>
      <c r="H498">
        <f>MONTH(Table1[[#This Row],[Date]])</f>
        <v>11</v>
      </c>
      <c r="I498">
        <f>YEAR(Table1[[#This Row],[Date]])</f>
        <v>2023</v>
      </c>
    </row>
    <row r="499" spans="1:9" hidden="1" x14ac:dyDescent="0.35">
      <c r="A499" s="1">
        <v>44583</v>
      </c>
      <c r="B499" t="s">
        <v>8</v>
      </c>
      <c r="C499" t="s">
        <v>12</v>
      </c>
      <c r="D499">
        <v>657.5</v>
      </c>
      <c r="E499">
        <v>10</v>
      </c>
      <c r="F499" t="s">
        <v>18</v>
      </c>
      <c r="G499" t="str">
        <f>CHOOSE(H499,"January","February","March","April","May","June","July","August","September","October","November","December")</f>
        <v>January</v>
      </c>
      <c r="H499">
        <f>MONTH(Table1[[#This Row],[Date]])</f>
        <v>1</v>
      </c>
      <c r="I499">
        <f>YEAR(Table1[[#This Row],[Date]])</f>
        <v>2022</v>
      </c>
    </row>
    <row r="500" spans="1:9" x14ac:dyDescent="0.35">
      <c r="A500" s="1">
        <v>45261</v>
      </c>
      <c r="B500" t="s">
        <v>8</v>
      </c>
      <c r="C500" t="s">
        <v>13</v>
      </c>
      <c r="D500" s="9">
        <v>1261.6400000000001</v>
      </c>
      <c r="E500">
        <v>8</v>
      </c>
      <c r="F500" t="s">
        <v>18</v>
      </c>
      <c r="G500" t="str">
        <f>CHOOSE(H500,"January","February","March","April","May","June","July","August","September","October","November","December")</f>
        <v>December</v>
      </c>
      <c r="H500">
        <f>MONTH(Table1[[#This Row],[Date]])</f>
        <v>12</v>
      </c>
      <c r="I500">
        <f>YEAR(Table1[[#This Row],[Date]])</f>
        <v>2023</v>
      </c>
    </row>
    <row r="501" spans="1:9" hidden="1" x14ac:dyDescent="0.35">
      <c r="A501" s="1">
        <v>44565</v>
      </c>
      <c r="B501" t="s">
        <v>10</v>
      </c>
      <c r="C501" t="s">
        <v>13</v>
      </c>
      <c r="D501">
        <v>1635.66</v>
      </c>
      <c r="E501">
        <v>10</v>
      </c>
      <c r="F501" t="s">
        <v>18</v>
      </c>
      <c r="G501" t="str">
        <f>CHOOSE(H501,"January","February","March","April","May","June","July","August","September","October","November","December")</f>
        <v>January</v>
      </c>
      <c r="H501">
        <f>MONTH(Table1[[#This Row],[Date]])</f>
        <v>1</v>
      </c>
      <c r="I501">
        <f>YEAR(Table1[[#This Row],[Date]])</f>
        <v>2022</v>
      </c>
    </row>
    <row r="502" spans="1:9" x14ac:dyDescent="0.35">
      <c r="A502" s="1"/>
      <c r="C502" s="7" t="s">
        <v>27</v>
      </c>
      <c r="D502" s="9">
        <f>SUM(D2:D501)</f>
        <v>534256.05000000028</v>
      </c>
      <c r="G502" s="6"/>
      <c r="H502" s="6"/>
      <c r="I502" s="6"/>
    </row>
  </sheetData>
  <dataConsolidate link="1">
    <dataRefs count="1">
      <dataRef name="$a$a500$f500"/>
    </dataRefs>
  </dataConsolidate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D3BAA01C-BA63-4DDD-8C1E-0D262CFF5F8B}">
          <xm:f>#REF!</xm:f>
        </x15:webExtension>
        <x15:webExtension appRef="{36CAEC21-E917-446C-9A7C-B3BDC90FAECD}">
          <xm:f>#REF!</xm:f>
        </x15:webExtension>
        <x15:webExtension appRef="{A0A89784-DC5E-4FD8-A8EC-1A8A9022A531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E299-0357-4947-8E95-E085AD83F0B1}">
  <dimension ref="A3:I24"/>
  <sheetViews>
    <sheetView topLeftCell="A9" workbookViewId="0">
      <selection activeCell="K17" sqref="K17"/>
    </sheetView>
  </sheetViews>
  <sheetFormatPr defaultRowHeight="14.5" x14ac:dyDescent="0.35"/>
  <cols>
    <col min="1" max="1" width="12.36328125" bestFit="1" customWidth="1"/>
    <col min="2" max="2" width="20.08984375" bestFit="1" customWidth="1"/>
    <col min="3" max="3" width="18.7265625" bestFit="1" customWidth="1"/>
    <col min="4" max="4" width="5.81640625" bestFit="1" customWidth="1"/>
    <col min="5" max="5" width="13" bestFit="1" customWidth="1"/>
    <col min="6" max="6" width="20.08984375" bestFit="1" customWidth="1"/>
    <col min="7" max="7" width="6.6328125" bestFit="1" customWidth="1"/>
    <col min="8" max="8" width="12.36328125" bestFit="1" customWidth="1"/>
    <col min="9" max="9" width="18.7265625" bestFit="1" customWidth="1"/>
    <col min="10" max="10" width="18.6328125" bestFit="1" customWidth="1"/>
    <col min="11" max="11" width="3.90625" bestFit="1" customWidth="1"/>
    <col min="12" max="12" width="4.6328125" bestFit="1" customWidth="1"/>
    <col min="13" max="13" width="6.1796875" bestFit="1" customWidth="1"/>
    <col min="14" max="14" width="4.453125" bestFit="1" customWidth="1"/>
    <col min="15" max="15" width="9.54296875" bestFit="1" customWidth="1"/>
    <col min="16" max="16" width="7.6328125" bestFit="1" customWidth="1"/>
    <col min="17" max="17" width="10" bestFit="1" customWidth="1"/>
    <col min="18" max="18" width="10.7265625" bestFit="1" customWidth="1"/>
    <col min="19" max="19" width="6.81640625" bestFit="1" customWidth="1"/>
    <col min="20" max="20" width="5.81640625" bestFit="1" customWidth="1"/>
    <col min="21" max="37" width="6.81640625" bestFit="1" customWidth="1"/>
    <col min="38" max="38" width="5.81640625" bestFit="1" customWidth="1"/>
    <col min="39" max="39" width="6.81640625" bestFit="1" customWidth="1"/>
    <col min="40" max="40" width="3.81640625" bestFit="1" customWidth="1"/>
    <col min="41" max="41" width="6.81640625" bestFit="1" customWidth="1"/>
    <col min="42" max="42" width="5.81640625" bestFit="1" customWidth="1"/>
    <col min="43" max="44" width="6.81640625" bestFit="1" customWidth="1"/>
    <col min="45" max="45" width="5.81640625" bestFit="1" customWidth="1"/>
    <col min="46" max="77" width="6.81640625" bestFit="1" customWidth="1"/>
    <col min="78" max="78" width="5.81640625" bestFit="1" customWidth="1"/>
    <col min="79" max="96" width="6.81640625" bestFit="1" customWidth="1"/>
    <col min="97" max="97" width="5.81640625" bestFit="1" customWidth="1"/>
    <col min="98" max="100" width="6.81640625" bestFit="1" customWidth="1"/>
    <col min="101" max="102" width="5.81640625" bestFit="1" customWidth="1"/>
    <col min="103" max="107" width="6.81640625" bestFit="1" customWidth="1"/>
    <col min="108" max="109" width="5.81640625" bestFit="1" customWidth="1"/>
    <col min="110" max="116" width="6.81640625" bestFit="1" customWidth="1"/>
    <col min="117" max="117" width="5.81640625" bestFit="1" customWidth="1"/>
    <col min="118" max="142" width="6.81640625" bestFit="1" customWidth="1"/>
    <col min="143" max="143" width="5.81640625" bestFit="1" customWidth="1"/>
    <col min="144" max="147" width="6.81640625" bestFit="1" customWidth="1"/>
    <col min="148" max="148" width="5.81640625" bestFit="1" customWidth="1"/>
    <col min="149" max="153" width="6.81640625" bestFit="1" customWidth="1"/>
    <col min="154" max="154" width="5.81640625" bestFit="1" customWidth="1"/>
    <col min="155" max="173" width="6.81640625" bestFit="1" customWidth="1"/>
    <col min="174" max="174" width="5.81640625" bestFit="1" customWidth="1"/>
    <col min="175" max="177" width="6.81640625" bestFit="1" customWidth="1"/>
    <col min="178" max="178" width="5.81640625" bestFit="1" customWidth="1"/>
    <col min="179" max="185" width="6.81640625" bestFit="1" customWidth="1"/>
    <col min="186" max="186" width="5.81640625" bestFit="1" customWidth="1"/>
    <col min="187" max="188" width="6.81640625" bestFit="1" customWidth="1"/>
    <col min="189" max="189" width="5.81640625" bestFit="1" customWidth="1"/>
    <col min="190" max="191" width="6.81640625" bestFit="1" customWidth="1"/>
    <col min="192" max="192" width="5.81640625" bestFit="1" customWidth="1"/>
    <col min="193" max="195" width="6.81640625" bestFit="1" customWidth="1"/>
    <col min="196" max="196" width="5.81640625" bestFit="1" customWidth="1"/>
    <col min="197" max="201" width="6.81640625" bestFit="1" customWidth="1"/>
    <col min="202" max="202" width="5.81640625" bestFit="1" customWidth="1"/>
    <col min="203" max="211" width="6.81640625" bestFit="1" customWidth="1"/>
    <col min="212" max="212" width="5.81640625" bestFit="1" customWidth="1"/>
    <col min="213" max="226" width="6.81640625" bestFit="1" customWidth="1"/>
    <col min="227" max="227" width="5.81640625" bestFit="1" customWidth="1"/>
    <col min="228" max="233" width="6.81640625" bestFit="1" customWidth="1"/>
    <col min="234" max="234" width="5.81640625" bestFit="1" customWidth="1"/>
    <col min="235" max="235" width="7.81640625" bestFit="1" customWidth="1"/>
    <col min="236" max="236" width="6.81640625" bestFit="1" customWidth="1"/>
    <col min="237" max="242" width="7.81640625" bestFit="1" customWidth="1"/>
    <col min="243" max="243" width="6.81640625" bestFit="1" customWidth="1"/>
    <col min="244" max="245" width="7.81640625" bestFit="1" customWidth="1"/>
    <col min="246" max="246" width="6.81640625" bestFit="1" customWidth="1"/>
    <col min="247" max="277" width="7.81640625" bestFit="1" customWidth="1"/>
    <col min="278" max="278" width="6.81640625" bestFit="1" customWidth="1"/>
    <col min="279" max="279" width="7.81640625" bestFit="1" customWidth="1"/>
    <col min="280" max="280" width="6.81640625" bestFit="1" customWidth="1"/>
    <col min="281" max="292" width="7.81640625" bestFit="1" customWidth="1"/>
    <col min="293" max="293" width="6.81640625" bestFit="1" customWidth="1"/>
    <col min="294" max="328" width="7.81640625" bestFit="1" customWidth="1"/>
    <col min="329" max="329" width="6.81640625" bestFit="1" customWidth="1"/>
    <col min="330" max="335" width="7.81640625" bestFit="1" customWidth="1"/>
    <col min="336" max="336" width="6.81640625" bestFit="1" customWidth="1"/>
    <col min="337" max="338" width="7.81640625" bestFit="1" customWidth="1"/>
    <col min="339" max="339" width="6.81640625" bestFit="1" customWidth="1"/>
    <col min="340" max="340" width="7.81640625" bestFit="1" customWidth="1"/>
    <col min="341" max="341" width="6.81640625" bestFit="1" customWidth="1"/>
    <col min="342" max="358" width="7.81640625" bestFit="1" customWidth="1"/>
    <col min="359" max="359" width="6.81640625" bestFit="1" customWidth="1"/>
    <col min="360" max="361" width="7.81640625" bestFit="1" customWidth="1"/>
    <col min="362" max="362" width="6.81640625" bestFit="1" customWidth="1"/>
    <col min="363" max="368" width="7.81640625" bestFit="1" customWidth="1"/>
    <col min="369" max="369" width="6.81640625" bestFit="1" customWidth="1"/>
    <col min="370" max="379" width="7.81640625" bestFit="1" customWidth="1"/>
    <col min="380" max="380" width="6.81640625" bestFit="1" customWidth="1"/>
    <col min="381" max="392" width="7.81640625" bestFit="1" customWidth="1"/>
    <col min="393" max="393" width="6.81640625" bestFit="1" customWidth="1"/>
    <col min="394" max="400" width="7.81640625" bestFit="1" customWidth="1"/>
    <col min="401" max="401" width="6.81640625" bestFit="1" customWidth="1"/>
    <col min="402" max="419" width="7.81640625" bestFit="1" customWidth="1"/>
    <col min="420" max="420" width="6.81640625" bestFit="1" customWidth="1"/>
    <col min="421" max="434" width="7.81640625" bestFit="1" customWidth="1"/>
    <col min="435" max="435" width="6.81640625" bestFit="1" customWidth="1"/>
    <col min="436" max="446" width="7.81640625" bestFit="1" customWidth="1"/>
    <col min="447" max="447" width="4.81640625" bestFit="1" customWidth="1"/>
    <col min="448" max="473" width="7.81640625" bestFit="1" customWidth="1"/>
    <col min="474" max="474" width="6.81640625" bestFit="1" customWidth="1"/>
    <col min="475" max="493" width="7.81640625" bestFit="1" customWidth="1"/>
    <col min="494" max="494" width="6.81640625" bestFit="1" customWidth="1"/>
    <col min="495" max="501" width="7.81640625" bestFit="1" customWidth="1"/>
    <col min="502" max="503" width="10.7265625" bestFit="1" customWidth="1"/>
  </cols>
  <sheetData>
    <row r="3" spans="1:9" x14ac:dyDescent="0.35">
      <c r="A3" s="3" t="s">
        <v>20</v>
      </c>
      <c r="B3" t="s">
        <v>26</v>
      </c>
      <c r="C3" t="s">
        <v>22</v>
      </c>
      <c r="E3" s="3" t="s">
        <v>20</v>
      </c>
      <c r="F3" t="s">
        <v>26</v>
      </c>
    </row>
    <row r="4" spans="1:9" x14ac:dyDescent="0.35">
      <c r="A4" s="4">
        <v>2022</v>
      </c>
      <c r="B4" s="6">
        <v>261</v>
      </c>
      <c r="C4" s="6">
        <v>278387.39999999997</v>
      </c>
      <c r="E4" s="4" t="s">
        <v>10</v>
      </c>
      <c r="F4" s="6">
        <v>93</v>
      </c>
    </row>
    <row r="5" spans="1:9" x14ac:dyDescent="0.35">
      <c r="A5" s="4">
        <v>2023</v>
      </c>
      <c r="B5" s="6">
        <v>239</v>
      </c>
      <c r="C5" s="6">
        <v>255868.65000000002</v>
      </c>
      <c r="E5" s="4" t="s">
        <v>8</v>
      </c>
      <c r="F5" s="6">
        <v>113</v>
      </c>
    </row>
    <row r="6" spans="1:9" x14ac:dyDescent="0.35">
      <c r="A6" s="4" t="s">
        <v>21</v>
      </c>
      <c r="B6" s="6">
        <v>500</v>
      </c>
      <c r="C6" s="6">
        <v>534256.0500000004</v>
      </c>
      <c r="E6" s="4" t="s">
        <v>9</v>
      </c>
      <c r="F6" s="6">
        <v>110</v>
      </c>
    </row>
    <row r="7" spans="1:9" x14ac:dyDescent="0.35">
      <c r="E7" s="4" t="s">
        <v>6</v>
      </c>
      <c r="F7" s="6">
        <v>91</v>
      </c>
    </row>
    <row r="8" spans="1:9" x14ac:dyDescent="0.35">
      <c r="E8" s="4" t="s">
        <v>7</v>
      </c>
      <c r="F8" s="6">
        <v>93</v>
      </c>
    </row>
    <row r="9" spans="1:9" x14ac:dyDescent="0.35">
      <c r="E9" s="4" t="s">
        <v>21</v>
      </c>
      <c r="F9" s="6">
        <v>500</v>
      </c>
      <c r="H9" s="3" t="s">
        <v>20</v>
      </c>
      <c r="I9" t="s">
        <v>22</v>
      </c>
    </row>
    <row r="10" spans="1:9" x14ac:dyDescent="0.35">
      <c r="H10" s="4" t="s">
        <v>12</v>
      </c>
      <c r="I10" s="6">
        <v>125966.97</v>
      </c>
    </row>
    <row r="11" spans="1:9" x14ac:dyDescent="0.35">
      <c r="H11" s="4" t="s">
        <v>11</v>
      </c>
      <c r="I11" s="6">
        <v>124549.8</v>
      </c>
    </row>
    <row r="12" spans="1:9" x14ac:dyDescent="0.35">
      <c r="H12" s="4" t="s">
        <v>14</v>
      </c>
      <c r="I12" s="6">
        <v>144880.68</v>
      </c>
    </row>
    <row r="13" spans="1:9" x14ac:dyDescent="0.35">
      <c r="H13" s="4" t="s">
        <v>13</v>
      </c>
      <c r="I13" s="6">
        <v>138858.6</v>
      </c>
    </row>
    <row r="14" spans="1:9" x14ac:dyDescent="0.35">
      <c r="H14" s="4" t="s">
        <v>21</v>
      </c>
      <c r="I14" s="6">
        <v>534256.05000000005</v>
      </c>
    </row>
    <row r="16" spans="1:9" x14ac:dyDescent="0.35">
      <c r="A16" s="3" t="s">
        <v>20</v>
      </c>
      <c r="B16" t="s">
        <v>22</v>
      </c>
      <c r="C16" t="s">
        <v>26</v>
      </c>
    </row>
    <row r="17" spans="1:6" x14ac:dyDescent="0.35">
      <c r="A17" s="4">
        <v>2022</v>
      </c>
      <c r="B17" s="6">
        <v>222069.53</v>
      </c>
      <c r="C17" s="6">
        <v>210</v>
      </c>
    </row>
    <row r="18" spans="1:6" x14ac:dyDescent="0.35">
      <c r="A18" s="4">
        <v>2023</v>
      </c>
      <c r="B18" s="6">
        <v>211007.37</v>
      </c>
      <c r="C18" s="6">
        <v>196</v>
      </c>
      <c r="E18" s="3" t="s">
        <v>20</v>
      </c>
      <c r="F18" t="s">
        <v>22</v>
      </c>
    </row>
    <row r="19" spans="1:6" x14ac:dyDescent="0.35">
      <c r="A19" s="4" t="s">
        <v>21</v>
      </c>
      <c r="B19" s="6">
        <v>433076.9</v>
      </c>
      <c r="C19" s="6">
        <v>406</v>
      </c>
      <c r="E19" s="4" t="s">
        <v>15</v>
      </c>
      <c r="F19" s="6">
        <v>113520.78999999996</v>
      </c>
    </row>
    <row r="20" spans="1:6" x14ac:dyDescent="0.35">
      <c r="E20" s="4" t="s">
        <v>17</v>
      </c>
      <c r="F20" s="6">
        <v>101179.15000000007</v>
      </c>
    </row>
    <row r="21" spans="1:6" x14ac:dyDescent="0.35">
      <c r="E21" s="4" t="s">
        <v>18</v>
      </c>
      <c r="F21" s="6">
        <v>109592.38000000003</v>
      </c>
    </row>
    <row r="22" spans="1:6" x14ac:dyDescent="0.35">
      <c r="E22" s="4" t="s">
        <v>19</v>
      </c>
      <c r="F22" s="6">
        <v>112749.25999999997</v>
      </c>
    </row>
    <row r="23" spans="1:6" x14ac:dyDescent="0.35">
      <c r="E23" s="4" t="s">
        <v>16</v>
      </c>
      <c r="F23" s="6">
        <v>97214.469999999987</v>
      </c>
    </row>
    <row r="24" spans="1:6" x14ac:dyDescent="0.35">
      <c r="E24" s="4" t="s">
        <v>21</v>
      </c>
      <c r="F24" s="6">
        <v>534256.05000000005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BC78-83B6-49E8-AA01-D15F6EC22009}">
  <dimension ref="A1:G2"/>
  <sheetViews>
    <sheetView topLeftCell="C1" workbookViewId="0">
      <selection activeCell="C4" sqref="C4"/>
    </sheetView>
  </sheetViews>
  <sheetFormatPr defaultRowHeight="14.5" x14ac:dyDescent="0.35"/>
  <cols>
    <col min="1" max="1" width="15.36328125" customWidth="1"/>
    <col min="2" max="2" width="14.453125" customWidth="1"/>
    <col min="3" max="3" width="20.08984375" customWidth="1"/>
    <col min="4" max="4" width="12.453125" customWidth="1"/>
    <col min="5" max="5" width="20.08984375" customWidth="1"/>
    <col min="6" max="6" width="21.26953125" customWidth="1"/>
    <col min="7" max="7" width="15.453125" bestFit="1" customWidth="1"/>
  </cols>
  <sheetData>
    <row r="1" spans="1:7" x14ac:dyDescent="0.35">
      <c r="A1" t="s">
        <v>28</v>
      </c>
      <c r="B1" t="s">
        <v>29</v>
      </c>
      <c r="C1" t="s">
        <v>34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35">
      <c r="A2">
        <f>AVERAGE(Sales_Trend!A2:A501)</f>
        <v>44915.114000000001</v>
      </c>
      <c r="B2" s="10">
        <f t="shared" ref="B2" si="0">(255868-278387)/278387</f>
        <v>-8.0890989880993011E-2</v>
      </c>
      <c r="C2" s="5">
        <f>SUM(Sales_Trend!D2:D501)</f>
        <v>534256.05000000028</v>
      </c>
      <c r="D2">
        <f>GETPIVOTDATA("[Measures].[Count of Quantity Sold 2]",'Insight pivot'!$A$3)</f>
        <v>500</v>
      </c>
      <c r="E2" t="str">
        <f>'Insight pivot'!E5</f>
        <v>Laptop</v>
      </c>
      <c r="F2" t="str">
        <f>'Insight pivot'!E19</f>
        <v>Alice</v>
      </c>
      <c r="G2">
        <f>GETPIVOTDATA("[Measures].[Sum of Sales Amount 2]",'Insight pivot'!$H$9,"[Table1].[Region]","[Table1].[Region].&amp;[South]")</f>
        <v>144880.68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8040452D-3AA4-407D-804F-9A04A784AC5B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25024382-3629-4421-9748-55801081243F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A898A14F-9918-454C-99D4-2D22BC56BD69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71289D6F-4855-45D6-9762-06583E9C3E20}">
  <ds:schemaRefs/>
</ds:datastoreItem>
</file>

<file path=customXml/itemProps5.xml><?xml version="1.0" encoding="utf-8"?>
<ds:datastoreItem xmlns:ds="http://schemas.openxmlformats.org/officeDocument/2006/customXml" ds:itemID="{0FF56DAE-000E-45EB-8BFC-5337202FE0EE}">
  <ds:schemaRefs/>
</ds:datastoreItem>
</file>

<file path=customXml/itemProps6.xml><?xml version="1.0" encoding="utf-8"?>
<ds:datastoreItem xmlns:ds="http://schemas.openxmlformats.org/officeDocument/2006/customXml" ds:itemID="{AFE4A6D7-8FED-4583-ACF1-8A68E8995917}">
  <ds:schemaRefs/>
</ds:datastoreItem>
</file>

<file path=customXml/itemProps7.xml><?xml version="1.0" encoding="utf-8"?>
<ds:datastoreItem xmlns:ds="http://schemas.openxmlformats.org/officeDocument/2006/customXml" ds:itemID="{65157A68-74C2-47D2-AA44-D58F5B092777}">
  <ds:schemaRefs/>
</ds:datastoreItem>
</file>

<file path=customXml/itemProps8.xml><?xml version="1.0" encoding="utf-8"?>
<ds:datastoreItem xmlns:ds="http://schemas.openxmlformats.org/officeDocument/2006/customXml" ds:itemID="{61879CE0-3454-4DDE-9548-033283368307}">
  <ds:schemaRefs/>
</ds:datastoreItem>
</file>

<file path=customXml/itemProps9.xml><?xml version="1.0" encoding="utf-8"?>
<ds:datastoreItem xmlns:ds="http://schemas.openxmlformats.org/officeDocument/2006/customXml" ds:itemID="{EA02508E-33F2-416C-B7CA-2A4D45FD1A03}">
  <ds:schemaRefs/>
</ds:datastoreItem>
</file>

<file path=customXml/itemProps10.xml><?xml version="1.0" encoding="utf-8"?>
<ds:datastoreItem xmlns:ds="http://schemas.openxmlformats.org/officeDocument/2006/customXml" ds:itemID="{2B7DB1EA-86FE-4D15-AC22-9ECEB45B2818}">
  <ds:schemaRefs/>
</ds:datastoreItem>
</file>

<file path=customXml/itemProps11.xml><?xml version="1.0" encoding="utf-8"?>
<ds:datastoreItem xmlns:ds="http://schemas.openxmlformats.org/officeDocument/2006/customXml" ds:itemID="{894FF1C0-1DD6-4CA0-9C05-205019B1C86C}">
  <ds:schemaRefs/>
</ds:datastoreItem>
</file>

<file path=customXml/itemProps12.xml><?xml version="1.0" encoding="utf-8"?>
<ds:datastoreItem xmlns:ds="http://schemas.openxmlformats.org/officeDocument/2006/customXml" ds:itemID="{F94314EA-AA68-4AEF-A217-B8A9F6BDBEAB}">
  <ds:schemaRefs/>
</ds:datastoreItem>
</file>

<file path=customXml/itemProps13.xml><?xml version="1.0" encoding="utf-8"?>
<ds:datastoreItem xmlns:ds="http://schemas.openxmlformats.org/officeDocument/2006/customXml" ds:itemID="{BEA056AC-A2EE-4014-B5F4-526724F920F9}">
  <ds:schemaRefs/>
</ds:datastoreItem>
</file>

<file path=customXml/itemProps14.xml><?xml version="1.0" encoding="utf-8"?>
<ds:datastoreItem xmlns:ds="http://schemas.openxmlformats.org/officeDocument/2006/customXml" ds:itemID="{A67872F6-44FD-4E26-BE21-98AB5351E74E}">
  <ds:schemaRefs/>
</ds:datastoreItem>
</file>

<file path=customXml/itemProps15.xml><?xml version="1.0" encoding="utf-8"?>
<ds:datastoreItem xmlns:ds="http://schemas.openxmlformats.org/officeDocument/2006/customXml" ds:itemID="{A4AD57FA-7467-4FDA-A66B-6CA3271E70A4}">
  <ds:schemaRefs/>
</ds:datastoreItem>
</file>

<file path=customXml/itemProps16.xml><?xml version="1.0" encoding="utf-8"?>
<ds:datastoreItem xmlns:ds="http://schemas.openxmlformats.org/officeDocument/2006/customXml" ds:itemID="{9DF0DD5D-599C-4E12-9632-E1E86870F8D9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EDAC6736-6B52-470F-A698-B513A91C6C7C}">
  <ds:schemaRefs/>
</ds:datastoreItem>
</file>

<file path=customXml/itemProps18.xml><?xml version="1.0" encoding="utf-8"?>
<ds:datastoreItem xmlns:ds="http://schemas.openxmlformats.org/officeDocument/2006/customXml" ds:itemID="{57E1D3F6-3C28-4D67-93AB-68D7088C202B}">
  <ds:schemaRefs/>
</ds:datastoreItem>
</file>

<file path=customXml/itemProps19.xml><?xml version="1.0" encoding="utf-8"?>
<ds:datastoreItem xmlns:ds="http://schemas.openxmlformats.org/officeDocument/2006/customXml" ds:itemID="{2C3CAC80-5497-4FF3-98A2-715D6FCDCBC6}">
  <ds:schemaRefs/>
</ds:datastoreItem>
</file>

<file path=customXml/itemProps20.xml><?xml version="1.0" encoding="utf-8"?>
<ds:datastoreItem xmlns:ds="http://schemas.openxmlformats.org/officeDocument/2006/customXml" ds:itemID="{AD8E9BBF-14AA-4099-B6D2-8E6FBCDBBE19}">
  <ds:schemaRefs/>
</ds:datastoreItem>
</file>

<file path=customXml/itemProps21.xml><?xml version="1.0" encoding="utf-8"?>
<ds:datastoreItem xmlns:ds="http://schemas.openxmlformats.org/officeDocument/2006/customXml" ds:itemID="{E496A120-F939-419D-9774-F0AC8C28653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Sales_Trend</vt:lpstr>
      <vt:lpstr>Insight pivot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2025-11-11T06:13:47Z</dcterms:created>
  <dcterms:modified xsi:type="dcterms:W3CDTF">2025-11-14T14:40:07Z</dcterms:modified>
</cp:coreProperties>
</file>